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hidePivotFieldList="1"/>
  <xr:revisionPtr revIDLastSave="0" documentId="13_ncr:1_{A8192CAC-29F4-470E-8C8D-B164A4C2ACE9}" xr6:coauthVersionLast="41" xr6:coauthVersionMax="41" xr10:uidLastSave="{00000000-0000-0000-0000-000000000000}"/>
  <bookViews>
    <workbookView xWindow="-108" yWindow="-108" windowWidth="20376" windowHeight="12216" firstSheet="1" activeTab="5" xr2:uid="{00000000-000D-0000-FFFF-FFFF00000000}"/>
  </bookViews>
  <sheets>
    <sheet name="Feuil2" sheetId="7" state="veryHidden" r:id="rId1"/>
    <sheet name="Feuil1" sheetId="10" r:id="rId2"/>
    <sheet name="PC." sheetId="4" r:id="rId3"/>
    <sheet name="MISE A JOUR WINDOWS" sheetId="1" r:id="rId4"/>
    <sheet name="IMP ET MFP RESEAUX" sheetId="5" r:id="rId5"/>
    <sheet name="DATA CENTER" sheetId="9" r:id="rId6"/>
  </sheets>
  <definedNames>
    <definedName name="_xlnm._FilterDatabase" localSheetId="4" hidden="1">'IMP ET MFP RESEAUX'!$B$7:$E$19</definedName>
    <definedName name="_xlcn.WorksheetConnection_NVMPAMEERABAT1T2026.xlsxTableau1574" hidden="1">Tableau1574[]</definedName>
    <definedName name="_xlnm.Print_Area" localSheetId="5">'DATA CENTER'!$A$1:$G$16</definedName>
    <definedName name="_xlnm.Print_Area" localSheetId="4">'IMP ET MFP RESEAUX'!$A$1:$F$23</definedName>
    <definedName name="_xlnm.Print_Area" localSheetId="3">'MISE A JOUR WINDOWS'!$A$1:$E$64</definedName>
    <definedName name="_xlnm.Print_Area" localSheetId="2">PC.!$A$1:$N$108</definedName>
  </definedNames>
  <calcPr calcId="191028"/>
  <pivotCaches>
    <pivotCache cacheId="180" r:id="rId7"/>
    <pivotCache cacheId="181" r:id="rId8"/>
    <pivotCache cacheId="182" r:id="rId9"/>
    <pivotCache cacheId="183" r:id="rId10"/>
    <pivotCache cacheId="184" r:id="rId11"/>
    <pivotCache cacheId="185" r:id="rId12"/>
    <pivotCache cacheId="186" r:id="rId13"/>
  </pivotCaches>
  <extLst>
    <ext xmlns:x15="http://schemas.microsoft.com/office/spreadsheetml/2010/11/main" uri="{FCE2AD5D-F65C-4FA6-A056-5C36A1767C68}">
      <x15:dataModel>
        <x15:modelTables>
          <x15:modelTable id="Tableau1574" name="Tableau1574" connection="WorksheetConnection_NV MP AMEE RABAT 1T-2026.xlsx!Tableau1574"/>
        </x15:modelTables>
      </x15:dataModel>
    </ext>
  </extLst>
</workbook>
</file>

<file path=xl/calcChain.xml><?xml version="1.0" encoding="utf-8"?>
<calcChain xmlns="http://schemas.openxmlformats.org/spreadsheetml/2006/main">
  <c r="D35" i="7" l="1"/>
  <c r="E35" i="7"/>
  <c r="F35" i="7"/>
  <c r="G35" i="7"/>
  <c r="C21" i="7"/>
  <c r="D21" i="7"/>
  <c r="E21" i="7"/>
  <c r="F21" i="7"/>
  <c r="B21" i="7"/>
  <c r="G193" i="7"/>
  <c r="G194" i="7"/>
  <c r="G192" i="7"/>
  <c r="G195" i="7" s="1"/>
  <c r="D195" i="7"/>
  <c r="E195" i="7"/>
  <c r="F19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95B357-2BA1-43E7-A625-2FB7B82F2E34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CFD9895-A93B-4D7C-A3E6-8BFD16DD4DB4}" name="WorksheetConnection_NV MP AMEE RABAT 1T-2026.xlsx!Tableau1574" type="102" refreshedVersion="6" minRefreshableVersion="5">
    <extLst>
      <ext xmlns:x15="http://schemas.microsoft.com/office/spreadsheetml/2010/11/main" uri="{DE250136-89BD-433C-8126-D09CA5730AF9}">
        <x15:connection id="Tableau1574" autoDelete="1">
          <x15:rangePr sourceName="_xlcn.WorksheetConnection_NVMPAMEERABAT1T2026.xlsxTableau1574"/>
        </x15:connection>
      </ext>
    </extLst>
  </connection>
</connections>
</file>

<file path=xl/sharedStrings.xml><?xml version="1.0" encoding="utf-8"?>
<sst xmlns="http://schemas.openxmlformats.org/spreadsheetml/2006/main" count="1316" uniqueCount="365">
  <si>
    <t>Personnes</t>
  </si>
  <si>
    <t>Désigniation</t>
  </si>
  <si>
    <t>Système d'expoitation</t>
  </si>
  <si>
    <t>RAM</t>
  </si>
  <si>
    <t>CPU(Microprocesseur)</t>
  </si>
  <si>
    <t>N°de série de la machine</t>
  </si>
  <si>
    <t>OK</t>
  </si>
  <si>
    <t>PC Portable</t>
  </si>
  <si>
    <t>PC Fixe</t>
  </si>
  <si>
    <t>RACHID RAMZI</t>
  </si>
  <si>
    <t>FUJITSU</t>
  </si>
  <si>
    <t>AdobeAcrobal-Reader</t>
  </si>
  <si>
    <t>OCS Inventory</t>
  </si>
  <si>
    <t>Adobe FLACH PLAYER</t>
  </si>
  <si>
    <t>TEAM VIEWER</t>
  </si>
  <si>
    <t>7-ZIP</t>
  </si>
  <si>
    <t>Micro office 2013</t>
  </si>
  <si>
    <t>Office pro 2016</t>
  </si>
  <si>
    <t>Microsoft securite essentiels</t>
  </si>
  <si>
    <t>Nettoyage de disque</t>
  </si>
  <si>
    <t>Mise à jour windows</t>
  </si>
  <si>
    <t>Fichiers temporaires</t>
  </si>
  <si>
    <t>Fixe</t>
  </si>
  <si>
    <t>Modèle</t>
  </si>
  <si>
    <t>Type</t>
  </si>
  <si>
    <t>Scanner</t>
  </si>
  <si>
    <t>Photocopieur</t>
  </si>
  <si>
    <t>Imprimante multifonction</t>
  </si>
  <si>
    <t>PC</t>
  </si>
  <si>
    <t>HP</t>
  </si>
  <si>
    <t>Marque</t>
  </si>
  <si>
    <t>MAC</t>
  </si>
  <si>
    <t>Étiquettes de lignes</t>
  </si>
  <si>
    <t>Total général</t>
  </si>
  <si>
    <t>Nombre de Type</t>
  </si>
  <si>
    <t>Nombre de Nature de l'application</t>
  </si>
  <si>
    <t>Nature de l'application.</t>
  </si>
  <si>
    <t>Antivirus</t>
  </si>
  <si>
    <t>Nombre de Nom</t>
  </si>
  <si>
    <t>Mise à jour</t>
  </si>
  <si>
    <t>Nombre de Mise à jour windows</t>
  </si>
  <si>
    <t>imprimante</t>
  </si>
  <si>
    <t>Nombre de Statut</t>
  </si>
  <si>
    <t>CFKG60833</t>
  </si>
  <si>
    <t>Imprimante Tickets</t>
  </si>
  <si>
    <t>Security win defender</t>
  </si>
  <si>
    <t>MALWARE</t>
  </si>
  <si>
    <t>Étiquettes de colonnes</t>
  </si>
  <si>
    <t>PC Fixee</t>
  </si>
  <si>
    <t>16 GO</t>
  </si>
  <si>
    <t>8 GO</t>
  </si>
  <si>
    <t>Win 10 64 bits</t>
  </si>
  <si>
    <t>GDS3NV2</t>
  </si>
  <si>
    <t>Micro office 365</t>
  </si>
  <si>
    <t>AVAST Security</t>
  </si>
  <si>
    <t/>
  </si>
  <si>
    <t>CTCLNV2</t>
  </si>
  <si>
    <t>ECRAN</t>
  </si>
  <si>
    <t>Ecran</t>
  </si>
  <si>
    <t>Imprimante</t>
  </si>
  <si>
    <t>LENOVO</t>
  </si>
  <si>
    <t>J02VTC3</t>
  </si>
  <si>
    <t>TEAM VIEWER 11</t>
  </si>
  <si>
    <t>Micro office PLUS 2010</t>
  </si>
  <si>
    <t>KASPERSKY</t>
  </si>
  <si>
    <t>WIN DEFENDER</t>
  </si>
  <si>
    <t>CNIJ34222</t>
  </si>
  <si>
    <t xml:space="preserve">manger engine </t>
  </si>
  <si>
    <t>Amal hammoussah</t>
  </si>
  <si>
    <t>dell latitude 7490</t>
  </si>
  <si>
    <t>70 GO</t>
  </si>
  <si>
    <t>Core i5 8gen</t>
  </si>
  <si>
    <t>ok</t>
  </si>
  <si>
    <t>4BRHD94</t>
  </si>
  <si>
    <t>DELL XPS 13 9370</t>
  </si>
  <si>
    <t>DELL OPTIPLEX 7060</t>
  </si>
  <si>
    <t xml:space="preserve">250 GO </t>
  </si>
  <si>
    <t>80 GO</t>
  </si>
  <si>
    <t>espace liber</t>
  </si>
  <si>
    <t>500 GO</t>
  </si>
  <si>
    <t>334 GO</t>
  </si>
  <si>
    <t>HX00VW2</t>
  </si>
  <si>
    <t>no</t>
  </si>
  <si>
    <t>Ismail boumajdi</t>
  </si>
  <si>
    <t>10S8R73</t>
  </si>
  <si>
    <t>Core i5 10 gen</t>
  </si>
  <si>
    <t>83 GO</t>
  </si>
  <si>
    <t>CN-0K6G4N-TV200-57G-1BZL-A01</t>
  </si>
  <si>
    <t xml:space="preserve"> DELL P2425HE</t>
  </si>
  <si>
    <t>DELL P2425HE</t>
  </si>
  <si>
    <t>DELL P2214H5</t>
  </si>
  <si>
    <t>CN-029C29-74261-513-27KB</t>
  </si>
  <si>
    <t>dell latitude 5410</t>
  </si>
  <si>
    <t>LENOVO X1 CARBON</t>
  </si>
  <si>
    <t>Win10 22H2</t>
  </si>
  <si>
    <t>1 TB</t>
  </si>
  <si>
    <t>856 GO</t>
  </si>
  <si>
    <t>Core i7 7gen</t>
  </si>
  <si>
    <t>PF0WT3ZR</t>
  </si>
  <si>
    <t>6BRHD94</t>
  </si>
  <si>
    <t>khalid agouzal</t>
  </si>
  <si>
    <t>66 GO</t>
  </si>
  <si>
    <t>80CLNV2</t>
  </si>
  <si>
    <t>1HWHD94</t>
  </si>
  <si>
    <t>Win 10 22H2</t>
  </si>
  <si>
    <t>DELL OPTIPLEX 3280 AIO</t>
  </si>
  <si>
    <t>Manal margoum</t>
  </si>
  <si>
    <t>744 GO</t>
  </si>
  <si>
    <t>halima essobaihi</t>
  </si>
  <si>
    <t>Core i7 10gen</t>
  </si>
  <si>
    <t>PF2GD9WG</t>
  </si>
  <si>
    <t>533JSC3</t>
  </si>
  <si>
    <t>DELL P2419H</t>
  </si>
  <si>
    <t xml:space="preserve">ok </t>
  </si>
  <si>
    <t>747 Go</t>
  </si>
  <si>
    <t>Hafsa HOUSNI</t>
  </si>
  <si>
    <t>Jad HAOUARI</t>
  </si>
  <si>
    <t>Imane BOULBOUL</t>
  </si>
  <si>
    <t>Youssef BENKADDOUR</t>
  </si>
  <si>
    <t>ADAM MCHAOUAR</t>
  </si>
  <si>
    <t>Redouan YESSOUF</t>
  </si>
  <si>
    <t>Nizar OUZIANE</t>
  </si>
  <si>
    <t>Slimane SMOUH</t>
  </si>
  <si>
    <t>Mohamed BENYAHIA</t>
  </si>
  <si>
    <t>Halima MANAR</t>
  </si>
  <si>
    <t>Hassan KIBBOU</t>
  </si>
  <si>
    <t>Sara BOUSLAMTI</t>
  </si>
  <si>
    <t>Amine AHMARRAS</t>
  </si>
  <si>
    <t>Hakima EL MADRARI</t>
  </si>
  <si>
    <t>Mohamed MAKAOUI</t>
  </si>
  <si>
    <t>Abdelkrim EL YACOUBI</t>
  </si>
  <si>
    <t>Mohamed EL HAOUARI</t>
  </si>
  <si>
    <t>Hind OULKATAB</t>
  </si>
  <si>
    <t>Jihane ATMANI</t>
  </si>
  <si>
    <t>Soukaina DEKAYIR</t>
  </si>
  <si>
    <t>Bouchra EL HILALI</t>
  </si>
  <si>
    <t>Sabrine EL ASRI</t>
  </si>
  <si>
    <t>Lafdali KHOUY</t>
  </si>
  <si>
    <t>Wafa EL FJIJI</t>
  </si>
  <si>
    <t>Abdallah RHARBAOUI</t>
  </si>
  <si>
    <t>Nada BELKEBIR</t>
  </si>
  <si>
    <t>Ayoub ANTARI</t>
  </si>
  <si>
    <t>Youssef EL HAMID</t>
  </si>
  <si>
    <t>Aziz EJMILA</t>
  </si>
  <si>
    <t>AOULAD BEN KESKSOU</t>
  </si>
  <si>
    <t>Souad BOUNFOUR</t>
  </si>
  <si>
    <t>Fadma BOUZAIT</t>
  </si>
  <si>
    <t>Agent de sécurité AMEE</t>
  </si>
  <si>
    <t>khadija HADDANI</t>
  </si>
  <si>
    <t>Meryem Fariss</t>
  </si>
  <si>
    <t>Ghizlane EL GHARBI</t>
  </si>
  <si>
    <t>Abderrahman BELMOKHTAR</t>
  </si>
  <si>
    <t>Ikram SKELLI</t>
  </si>
  <si>
    <t>Rihab JEBARI</t>
  </si>
  <si>
    <t>Douae MHAJIR</t>
  </si>
  <si>
    <t>Fatima ANEJJAR</t>
  </si>
  <si>
    <t>Sofia KHIYI</t>
  </si>
  <si>
    <t>PC portable</t>
  </si>
  <si>
    <t>Ordinateur de bureau</t>
  </si>
  <si>
    <t>MacBookPro11,4</t>
  </si>
  <si>
    <t>ThinkPad X1 Carbon Gen 13</t>
  </si>
  <si>
    <t>ThinkPad T14 Gen 4</t>
  </si>
  <si>
    <t>ThinkPad X1 Carbon Gen 11</t>
  </si>
  <si>
    <t>ThinkPad X1 Carbon Gen 10</t>
  </si>
  <si>
    <t>Latitude 7420</t>
  </si>
  <si>
    <t>ThinkPad X1 Carbon Gen 8</t>
  </si>
  <si>
    <t>XPS 13 9380</t>
  </si>
  <si>
    <t>LIFEBOOK U937</t>
  </si>
  <si>
    <t>ThinkPad T14 Gen 5</t>
  </si>
  <si>
    <t>Macbook P10 A1707</t>
  </si>
  <si>
    <t>Macbook Pro</t>
  </si>
  <si>
    <t>HP ProOne 240 G10</t>
  </si>
  <si>
    <t>ASUSvivobook</t>
  </si>
  <si>
    <t>OptiPlex 3280 AIO</t>
  </si>
  <si>
    <t>IMAC</t>
  </si>
  <si>
    <t>Latitude 7421</t>
  </si>
  <si>
    <t>Microsoft Windows 10 Pro</t>
  </si>
  <si>
    <t>Microsoft Windows 11 Pro</t>
  </si>
  <si>
    <t>MacOS</t>
  </si>
  <si>
    <t>Microsoft Windows 7 Pro</t>
  </si>
  <si>
    <t>C02SQ74FG8WN</t>
  </si>
  <si>
    <t>PF5YMS37</t>
  </si>
  <si>
    <t>PF4J2M8B</t>
  </si>
  <si>
    <t>PF5YMNTX</t>
  </si>
  <si>
    <t>PF4GGHD1</t>
  </si>
  <si>
    <t>PF4MX6Y8</t>
  </si>
  <si>
    <t>PF4MX6XY</t>
  </si>
  <si>
    <t>PF4J2K0D</t>
  </si>
  <si>
    <t>PF4J2JXB</t>
  </si>
  <si>
    <t>PF44TBAW</t>
  </si>
  <si>
    <t>BR2CKN3</t>
  </si>
  <si>
    <t>GW4DKN3</t>
  </si>
  <si>
    <t>44XBKN3</t>
  </si>
  <si>
    <t>F4XBKN3</t>
  </si>
  <si>
    <t>PF2GDB1F</t>
  </si>
  <si>
    <t>PF2GD5TS</t>
  </si>
  <si>
    <t>PF1JFWSW</t>
  </si>
  <si>
    <t>DVPG5X3</t>
  </si>
  <si>
    <t>4WPG5X3</t>
  </si>
  <si>
    <t>2XPG5X3</t>
  </si>
  <si>
    <t>F3Q0XT2</t>
  </si>
  <si>
    <t>FJ47WT2</t>
  </si>
  <si>
    <t>81X4XT2</t>
  </si>
  <si>
    <t>744KST2</t>
  </si>
  <si>
    <t>FD2JNV2</t>
  </si>
  <si>
    <t>DS1T005295</t>
  </si>
  <si>
    <t>DS1T005300</t>
  </si>
  <si>
    <t>PF4J28XF</t>
  </si>
  <si>
    <t>C02WF1BEHTD7</t>
  </si>
  <si>
    <t>TR6DM2OF6P</t>
  </si>
  <si>
    <t>CO2VDL48HV24</t>
  </si>
  <si>
    <t>8CC4081R6J</t>
  </si>
  <si>
    <t>MANXCV00Z923405</t>
  </si>
  <si>
    <t>MANXCV06S93941B</t>
  </si>
  <si>
    <t>8CC4081R79</t>
  </si>
  <si>
    <t>212VTC3</t>
  </si>
  <si>
    <t>2Y00VW2</t>
  </si>
  <si>
    <t>8CC4081R62</t>
  </si>
  <si>
    <t>4N6TV42</t>
  </si>
  <si>
    <t>C02QKCW3GG7J</t>
  </si>
  <si>
    <t>DS1T004810</t>
  </si>
  <si>
    <t>DS1T004807</t>
  </si>
  <si>
    <t>16BBKN3</t>
  </si>
  <si>
    <t>C6XBKN3</t>
  </si>
  <si>
    <t>espace disque dur</t>
  </si>
  <si>
    <t>P2415Qb</t>
  </si>
  <si>
    <t>CN-OD8VXF-QDC00-988-04NB-A14</t>
  </si>
  <si>
    <t>CN-029C29-74261-513-27UB</t>
  </si>
  <si>
    <t>CN-00G2TG-TV200-7CM-03UU-A02</t>
  </si>
  <si>
    <t>8970ZT2</t>
  </si>
  <si>
    <t>F280ZT2</t>
  </si>
  <si>
    <t>7YN39C2</t>
  </si>
  <si>
    <t>CN-0K6G4N-TV200-57G-0T8L-A01</t>
  </si>
  <si>
    <t>CN-D8UXF-QDC00-988-04AB-A14</t>
  </si>
  <si>
    <t>B8DT2N2</t>
  </si>
  <si>
    <t>CN-029C29-74261-513-1E4B</t>
  </si>
  <si>
    <t>CN-0KNYZJ-QDC00-92A-3805-A08</t>
  </si>
  <si>
    <t>CN-029C29-74261-513-27JB</t>
  </si>
  <si>
    <t>77DT2N2</t>
  </si>
  <si>
    <t>CN-029C29-74261-513-27TB</t>
  </si>
  <si>
    <t>38DT2N2</t>
  </si>
  <si>
    <t>CN-0QV47J-QDC00-92A-38A5-A03</t>
  </si>
  <si>
    <t>C890ZT2</t>
  </si>
  <si>
    <t>5N70ZT2</t>
  </si>
  <si>
    <t>CN-0K6G4N-TV200-57G-1C1L-A01</t>
  </si>
  <si>
    <t>CN-0D8VXF-QDC00-9B0-04WB-A14</t>
  </si>
  <si>
    <t>CN-0KNYZJ-QDC00-92A-31C5-103</t>
  </si>
  <si>
    <t>CN-D8VXF-QDC00-9B8</t>
  </si>
  <si>
    <t>2B70ZT2</t>
  </si>
  <si>
    <t>CN-0K6G4N-TV200-57G-1C2L-A01</t>
  </si>
  <si>
    <t>32 GO</t>
  </si>
  <si>
    <t>Netayge systeme</t>
  </si>
  <si>
    <t>Antivirus kas</t>
  </si>
  <si>
    <t>Misa a jour win</t>
  </si>
  <si>
    <t>core I5 11gen</t>
  </si>
  <si>
    <t>387 Go</t>
  </si>
  <si>
    <t>oui</t>
  </si>
  <si>
    <t>core I5 12gen</t>
  </si>
  <si>
    <t>500 Go</t>
  </si>
  <si>
    <t>344 Go</t>
  </si>
  <si>
    <t>240 GO</t>
  </si>
  <si>
    <t>120 GO</t>
  </si>
  <si>
    <t>3CQ4432WCC</t>
  </si>
  <si>
    <t>HP V241a</t>
  </si>
  <si>
    <t>512 GO</t>
  </si>
  <si>
    <t>274 GO</t>
  </si>
  <si>
    <t>Core i7 13gen</t>
  </si>
  <si>
    <t>340 GO</t>
  </si>
  <si>
    <t>Dell optiplex 9020</t>
  </si>
  <si>
    <t>Core i7 4gen</t>
  </si>
  <si>
    <t>B7DT2N2</t>
  </si>
  <si>
    <t>346 GO</t>
  </si>
  <si>
    <t>319 GO</t>
  </si>
  <si>
    <t>Core i7 8gen</t>
  </si>
  <si>
    <t>256 GO</t>
  </si>
  <si>
    <t>5 GO</t>
  </si>
  <si>
    <t>fujitsu  lifebook u937</t>
  </si>
  <si>
    <t>136 GO</t>
  </si>
  <si>
    <t>Core i5 7gen</t>
  </si>
  <si>
    <t>131JD94</t>
  </si>
  <si>
    <t>C21JD94</t>
  </si>
  <si>
    <t>dell latitude 7430</t>
  </si>
  <si>
    <t xml:space="preserve">512 GO </t>
  </si>
  <si>
    <t>318 GO</t>
  </si>
  <si>
    <t>6P8OZT2</t>
  </si>
  <si>
    <t>512GO</t>
  </si>
  <si>
    <t>318GO</t>
  </si>
  <si>
    <t>Core Ultra 7 255U</t>
  </si>
  <si>
    <t>PF5YMPFS</t>
  </si>
  <si>
    <t>ThinkPad T14 Gen 3</t>
  </si>
  <si>
    <t>347 GO</t>
  </si>
  <si>
    <t>PF5YMQQZ</t>
  </si>
  <si>
    <t>1TB</t>
  </si>
  <si>
    <t>359 GO</t>
  </si>
  <si>
    <t>344 GO</t>
  </si>
  <si>
    <t>7HWHD94</t>
  </si>
  <si>
    <t>330 GO</t>
  </si>
  <si>
    <t>3BB19J2</t>
  </si>
  <si>
    <t>BRXZNM2</t>
  </si>
  <si>
    <t>324 GO</t>
  </si>
  <si>
    <t>core i5 13gen</t>
  </si>
  <si>
    <t>287 GO</t>
  </si>
  <si>
    <t>Oui</t>
  </si>
  <si>
    <t>8BRHD94</t>
  </si>
  <si>
    <t>core i5</t>
  </si>
  <si>
    <t>866 GO</t>
  </si>
  <si>
    <t>321 GO</t>
  </si>
  <si>
    <t>198 GO</t>
  </si>
  <si>
    <t>H9DT2N2</t>
  </si>
  <si>
    <t>TYPE</t>
  </si>
  <si>
    <t>MARQUE</t>
  </si>
  <si>
    <t>MODELE</t>
  </si>
  <si>
    <t>XEROX</t>
  </si>
  <si>
    <t>Xerox AltaLink C8270</t>
  </si>
  <si>
    <t>Serveur</t>
  </si>
  <si>
    <t>Lenovo</t>
  </si>
  <si>
    <t>ThinkSystem SR630</t>
  </si>
  <si>
    <t>J302V39N</t>
  </si>
  <si>
    <t xml:space="preserve">TOSHIBA </t>
  </si>
  <si>
    <t>TOSHIBA e-STUDIO3505AC</t>
  </si>
  <si>
    <t>IBM</t>
  </si>
  <si>
    <t>KD98RAN</t>
  </si>
  <si>
    <t>TOSHIBA e-STUDIO4515AC</t>
  </si>
  <si>
    <t>J33WCYY</t>
  </si>
  <si>
    <t>Xerox VersaLink C625</t>
  </si>
  <si>
    <t>06FHGAY</t>
  </si>
  <si>
    <t>HP Color LaserJet MFP M681</t>
  </si>
  <si>
    <t>NLBVL1B0L9</t>
  </si>
  <si>
    <t>KVM</t>
  </si>
  <si>
    <t xml:space="preserve">HPE </t>
  </si>
  <si>
    <t>LCD8500</t>
  </si>
  <si>
    <t>2C463688AX</t>
  </si>
  <si>
    <t>FAX</t>
  </si>
  <si>
    <t>E71290F4F261602</t>
  </si>
  <si>
    <t>Work Centre 3225</t>
  </si>
  <si>
    <t>Scanmate  I1150</t>
  </si>
  <si>
    <t>MSIP-REM-KAK-I1180</t>
  </si>
  <si>
    <t>ASUS</t>
  </si>
  <si>
    <t xml:space="preserve">DELL </t>
  </si>
  <si>
    <t>BROTHER</t>
  </si>
  <si>
    <t>KODAK</t>
  </si>
  <si>
    <t>VERSALINK B7030</t>
  </si>
  <si>
    <t>LASER 2845FI</t>
  </si>
  <si>
    <t>SYSTEM X3650 M3</t>
  </si>
  <si>
    <t>SYSTEM X3650 M5</t>
  </si>
  <si>
    <t>SYSTEM X3650 M4</t>
  </si>
  <si>
    <t>Marché N° 29/2025</t>
  </si>
  <si>
    <t xml:space="preserve">Rapport d’activité </t>
  </si>
  <si>
    <t>Période du 01/01/2026 au 31/03/2026</t>
  </si>
  <si>
    <t>Pour Substancium</t>
  </si>
  <si>
    <t>Cachet et signature du client</t>
  </si>
  <si>
    <t>SITE:RABAT</t>
  </si>
  <si>
    <t>N° de série</t>
  </si>
  <si>
    <t>SITE: RABAT</t>
  </si>
  <si>
    <t>TYPES</t>
  </si>
  <si>
    <t>Zakaria ABIRI</t>
  </si>
  <si>
    <t xml:space="preserve">HP </t>
  </si>
  <si>
    <t>dellP2424HE</t>
  </si>
  <si>
    <t>S/N</t>
  </si>
  <si>
    <t xml:space="preserve"> </t>
  </si>
  <si>
    <t>Période du 13/01/2026 au 31/03/2026</t>
  </si>
  <si>
    <t xml:space="preserve">        Période du 13/01/2026 au 31/03/2026</t>
  </si>
  <si>
    <t>Nombre de Marque2</t>
  </si>
  <si>
    <t>Nombre de TYPES</t>
  </si>
  <si>
    <t xml:space="preserve">Soukaina DEKAYIR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</si>
</sst>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8"/>
      <color rgb="FF7030A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rgb="FF1482A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9"/>
      <color rgb="FF333399"/>
      <name val="Calibri"/>
      <family val="2"/>
      <scheme val="minor"/>
    </font>
    <font>
      <b/>
      <sz val="18"/>
      <color rgb="FF33339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333399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6"/>
      <color rgb="FF333399"/>
      <name val="Calibri"/>
      <family val="2"/>
      <scheme val="minor"/>
    </font>
    <font>
      <b/>
      <sz val="14"/>
      <color rgb="FF33339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EBE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</fills>
  <borders count="25">
    <border>
      <left/>
      <right/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6" fillId="0" borderId="0"/>
  </cellStyleXfs>
  <cellXfs count="68">
    <xf numFmtId="0" fontId="0" fillId="0" borderId="0" xfId="0"/>
    <xf numFmtId="0" fontId="1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pivotButton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5" xfId="0" applyFill="1" applyBorder="1" applyAlignment="1">
      <alignment horizontal="left"/>
    </xf>
    <xf numFmtId="0" fontId="0" fillId="2" borderId="5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5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1" xfId="0" applyBorder="1"/>
    <xf numFmtId="0" fontId="6" fillId="4" borderId="11" xfId="0" applyFont="1" applyFill="1" applyBorder="1" applyAlignment="1">
      <alignment horizontal="center" vertical="center"/>
    </xf>
    <xf numFmtId="0" fontId="0" fillId="0" borderId="9" xfId="0" pivotButton="1" applyBorder="1"/>
    <xf numFmtId="0" fontId="1" fillId="0" borderId="13" xfId="0" applyFont="1" applyBorder="1" applyAlignment="1">
      <alignment horizontal="center" vertical="center"/>
    </xf>
    <xf numFmtId="0" fontId="8" fillId="5" borderId="5" xfId="0" applyFont="1" applyFill="1" applyBorder="1"/>
    <xf numFmtId="0" fontId="8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6" borderId="5" xfId="0" applyFill="1" applyBorder="1"/>
    <xf numFmtId="0" fontId="0" fillId="0" borderId="0" xfId="0" applyAlignment="1">
      <alignment horizontal="left" indent="1"/>
    </xf>
    <xf numFmtId="0" fontId="0" fillId="3" borderId="3" xfId="0" applyFill="1" applyBorder="1" applyAlignment="1">
      <alignment vertical="center"/>
    </xf>
    <xf numFmtId="0" fontId="0" fillId="0" borderId="9" xfId="0" applyBorder="1"/>
    <xf numFmtId="0" fontId="0" fillId="3" borderId="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Fill="1" applyBorder="1"/>
    <xf numFmtId="0" fontId="0" fillId="0" borderId="7" xfId="0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1" applyFont="1" applyAlignment="1">
      <alignment horizontal="left" vertical="center" readingOrder="1"/>
    </xf>
    <xf numFmtId="0" fontId="17" fillId="0" borderId="0" xfId="0" applyFont="1"/>
    <xf numFmtId="0" fontId="2" fillId="0" borderId="0" xfId="0" applyFont="1"/>
    <xf numFmtId="0" fontId="17" fillId="0" borderId="0" xfId="1" applyFont="1" applyAlignment="1">
      <alignment horizontal="right" readingOrder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7" fillId="0" borderId="0" xfId="1" applyFont="1" applyAlignment="1">
      <alignment horizontal="center" vertical="center" readingOrder="1"/>
    </xf>
    <xf numFmtId="0" fontId="21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9" fillId="0" borderId="0" xfId="0" applyFont="1"/>
    <xf numFmtId="0" fontId="22" fillId="5" borderId="9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3" borderId="7" xfId="0" applyFill="1" applyBorder="1" applyAlignment="1">
      <alignment vertical="center"/>
    </xf>
  </cellXfs>
  <cellStyles count="2">
    <cellStyle name="NiveauLigne_4" xfId="1" builtinId="1" iLevel="3"/>
    <cellStyle name="Normal" xfId="0" builtinId="0"/>
  </cellStyles>
  <dxfs count="86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fgColor rgb="FFFFFFFF"/>
          <bgColor rgb="FF000000"/>
        </patternFill>
      </fill>
    </dxf>
    <dxf>
      <border diagonalUp="0" diagonalDown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/>
      </border>
    </dxf>
    <dxf>
      <border>
        <bottom/>
        <vertical/>
      </border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baseline="0">
                <a:effectLst/>
              </a:rPr>
              <a:t>Nombre d'interventions PC fixe/Portable</a:t>
            </a:r>
            <a:endParaRPr lang="fr-FR" sz="1400" u="none">
              <a:effectLst/>
            </a:endParaRPr>
          </a:p>
        </c:rich>
      </c:tx>
      <c:layout>
        <c:manualLayout>
          <c:xMode val="edge"/>
          <c:yMode val="edge"/>
          <c:x val="0.169793107845325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6.1496357899082837E-2"/>
          <c:y val="0.15735854251755313"/>
          <c:w val="0.92355034272401348"/>
          <c:h val="0.5112773440556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Feuil2!$B$53:$B$54</c:f>
              <c:strCache>
                <c:ptCount val="1"/>
                <c:pt idx="0">
                  <c:v>PC Fixee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Feuil2!$A$55:$A$65</c:f>
              <c:strCache>
                <c:ptCount val="10"/>
                <c:pt idx="0">
                  <c:v>OCS Inventory</c:v>
                </c:pt>
                <c:pt idx="1">
                  <c:v>AdobeAcrobal-Reader</c:v>
                </c:pt>
                <c:pt idx="2">
                  <c:v>7-ZIP</c:v>
                </c:pt>
                <c:pt idx="3">
                  <c:v>Micro office 365</c:v>
                </c:pt>
                <c:pt idx="4">
                  <c:v>TEAM VIEWER</c:v>
                </c:pt>
                <c:pt idx="5">
                  <c:v>Adobe FLACH PLAYER</c:v>
                </c:pt>
                <c:pt idx="6">
                  <c:v>Micro office 2013</c:v>
                </c:pt>
                <c:pt idx="7">
                  <c:v>TEAM VIEWER 11</c:v>
                </c:pt>
                <c:pt idx="8">
                  <c:v>Micro office PLUS 2010</c:v>
                </c:pt>
                <c:pt idx="9">
                  <c:v>Office pro 2016</c:v>
                </c:pt>
              </c:strCache>
            </c:strRef>
          </c:cat>
          <c:val>
            <c:numRef>
              <c:f>Feuil2!$B$55:$B$65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E-47AD-A541-E928F7BACF8E}"/>
            </c:ext>
          </c:extLst>
        </c:ser>
        <c:ser>
          <c:idx val="1"/>
          <c:order val="1"/>
          <c:tx>
            <c:strRef>
              <c:f>Feuil2!$C$53:$C$54</c:f>
              <c:strCache>
                <c:ptCount val="1"/>
                <c:pt idx="0">
                  <c:v>PC Portable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Feuil2!$A$55:$A$65</c:f>
              <c:strCache>
                <c:ptCount val="10"/>
                <c:pt idx="0">
                  <c:v>OCS Inventory</c:v>
                </c:pt>
                <c:pt idx="1">
                  <c:v>AdobeAcrobal-Reader</c:v>
                </c:pt>
                <c:pt idx="2">
                  <c:v>7-ZIP</c:v>
                </c:pt>
                <c:pt idx="3">
                  <c:v>Micro office 365</c:v>
                </c:pt>
                <c:pt idx="4">
                  <c:v>TEAM VIEWER</c:v>
                </c:pt>
                <c:pt idx="5">
                  <c:v>Adobe FLACH PLAYER</c:v>
                </c:pt>
                <c:pt idx="6">
                  <c:v>Micro office 2013</c:v>
                </c:pt>
                <c:pt idx="7">
                  <c:v>TEAM VIEWER 11</c:v>
                </c:pt>
                <c:pt idx="8">
                  <c:v>Micro office PLUS 2010</c:v>
                </c:pt>
                <c:pt idx="9">
                  <c:v>Office pro 2016</c:v>
                </c:pt>
              </c:strCache>
            </c:strRef>
          </c:cat>
          <c:val>
            <c:numRef>
              <c:f>Feuil2!$C$55:$C$65</c:f>
              <c:numCache>
                <c:formatCode>General</c:formatCode>
                <c:ptCount val="10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E-47AD-A541-E928F7BACF8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0451616"/>
        <c:axId val="300452008"/>
      </c:barChart>
      <c:catAx>
        <c:axId val="3004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452008"/>
        <c:crosses val="autoZero"/>
        <c:auto val="1"/>
        <c:lblAlgn val="ctr"/>
        <c:lblOffset val="100"/>
        <c:noMultiLvlLbl val="0"/>
      </c:catAx>
      <c:valAx>
        <c:axId val="30045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45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Nombre</a:t>
            </a:r>
            <a:r>
              <a:rPr lang="en-US" b="1" u="none" baseline="0"/>
              <a:t> de mise à jour par type de PC </a:t>
            </a:r>
            <a:endParaRPr lang="en-US" b="1" u="none"/>
          </a:p>
        </c:rich>
      </c:tx>
      <c:layout>
        <c:manualLayout>
          <c:xMode val="edge"/>
          <c:yMode val="edge"/>
          <c:x val="0.1626283718940418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Feuil2!$B$135:$B$136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Feuil2!$A$137:$A$139</c:f>
              <c:strCache>
                <c:ptCount val="2"/>
                <c:pt idx="0">
                  <c:v>PC Portable</c:v>
                </c:pt>
                <c:pt idx="1">
                  <c:v>PC Fixe</c:v>
                </c:pt>
              </c:strCache>
            </c:strRef>
          </c:cat>
          <c:val>
            <c:numRef>
              <c:f>Feuil2!$B$137:$B$139</c:f>
              <c:numCache>
                <c:formatCode>General</c:formatCode>
                <c:ptCount val="2"/>
                <c:pt idx="0">
                  <c:v>16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3-4853-8F5C-96630C69F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99928"/>
        <c:axId val="215900320"/>
      </c:barChart>
      <c:catAx>
        <c:axId val="21589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900320"/>
        <c:crosses val="autoZero"/>
        <c:auto val="1"/>
        <c:lblAlgn val="ctr"/>
        <c:lblOffset val="100"/>
        <c:noMultiLvlLbl val="0"/>
      </c:catAx>
      <c:valAx>
        <c:axId val="2159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89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u="none"/>
              <a:t>Etat</a:t>
            </a:r>
            <a:r>
              <a:rPr lang="fr-FR" u="none" baseline="0"/>
              <a:t> des imprimantes et MFP réseaux  </a:t>
            </a:r>
            <a:endParaRPr lang="fr-FR" u="none"/>
          </a:p>
        </c:rich>
      </c:tx>
      <c:layout>
        <c:manualLayout>
          <c:xMode val="edge"/>
          <c:yMode val="edge"/>
          <c:x val="0.1488611111111111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Feuil2!$B$149:$B$150</c:f>
              <c:strCache>
                <c:ptCount val="1"/>
                <c:pt idx="0">
                  <c:v>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Feuil2!$A$151:$A$156</c:f>
              <c:strCache>
                <c:ptCount val="5"/>
                <c:pt idx="0">
                  <c:v>Imprimante multifonction</c:v>
                </c:pt>
                <c:pt idx="1">
                  <c:v>Scanner</c:v>
                </c:pt>
                <c:pt idx="2">
                  <c:v>Photocopieur</c:v>
                </c:pt>
                <c:pt idx="3">
                  <c:v>Imprimante</c:v>
                </c:pt>
                <c:pt idx="4">
                  <c:v>Imprimante Tickets</c:v>
                </c:pt>
              </c:strCache>
            </c:strRef>
          </c:cat>
          <c:val>
            <c:numRef>
              <c:f>Feuil2!$B$151:$B$156</c:f>
              <c:numCache>
                <c:formatCode>General</c:formatCode>
                <c:ptCount val="5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F-4274-B8FE-2245DFE03EE2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5901104"/>
        <c:axId val="215898360"/>
      </c:barChart>
      <c:catAx>
        <c:axId val="21590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898360"/>
        <c:crosses val="autoZero"/>
        <c:auto val="1"/>
        <c:lblAlgn val="ctr"/>
        <c:lblOffset val="100"/>
        <c:noMultiLvlLbl val="0"/>
      </c:catAx>
      <c:valAx>
        <c:axId val="21589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90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baseline="0">
                <a:effectLst/>
              </a:rPr>
              <a:t>Etat des imprimantes et MFP réseaux EN %</a:t>
            </a:r>
            <a:endParaRPr lang="fr-FR" u="none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layout>
            <c:manualLayout>
              <c:x val="2.1952605000350216E-2"/>
              <c:y val="-0.2873957421988918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layout>
            <c:manualLayout>
              <c:x val="-7.2829202304537419E-2"/>
              <c:y val="-9.9654418197725289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4.167784981702749E-2"/>
              <c:y val="-4.1358267716535474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Feuil2!$B$162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642-4516-B7CF-7901A57F4E4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6642-4516-B7CF-7901A57F4E4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6642-4516-B7CF-7901A57F4E4E}"/>
              </c:ext>
            </c:extLst>
          </c:dPt>
          <c:dLbls>
            <c:dLbl>
              <c:idx val="1"/>
              <c:layout>
                <c:manualLayout>
                  <c:x val="2.1952605000350216E-2"/>
                  <c:y val="-0.287395742198891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42-4516-B7CF-7901A57F4E4E}"/>
                </c:ext>
              </c:extLst>
            </c:dLbl>
            <c:dLbl>
              <c:idx val="4"/>
              <c:layout>
                <c:manualLayout>
                  <c:x val="-7.2829202304537419E-2"/>
                  <c:y val="-9.96544181977252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DD-4FBB-B2A0-EF93B8A802E7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3494BA"/>
                </a:solidFill>
                <a:round/>
              </a:ln>
              <a:effectLst>
                <a:outerShdw blurRad="50800" dist="38100" dir="2700000" algn="tl" rotWithShape="0">
                  <a:srgbClr val="3494BA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Feuil2!$A$163:$A$169</c:f>
              <c:multiLvlStrCache>
                <c:ptCount val="5"/>
                <c:lvl>
                  <c:pt idx="0">
                    <c:v>Imprimante</c:v>
                  </c:pt>
                  <c:pt idx="1">
                    <c:v>Imprimante multifonction</c:v>
                  </c:pt>
                  <c:pt idx="2">
                    <c:v>Imprimante Tickets</c:v>
                  </c:pt>
                  <c:pt idx="3">
                    <c:v>Photocopieur</c:v>
                  </c:pt>
                  <c:pt idx="4">
                    <c:v>Scanner</c:v>
                  </c:pt>
                </c:lvl>
                <c:lvl>
                  <c:pt idx="0">
                    <c:v>OK</c:v>
                  </c:pt>
                </c:lvl>
              </c:multiLvlStrCache>
            </c:multiLvlStrRef>
          </c:cat>
          <c:val>
            <c:numRef>
              <c:f>Feuil2!$B$163:$B$169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42-4516-B7CF-7901A57F4E4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dynamique4</c:name>
    <c:fmtId val="8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Nombre d'interventions PC fixe/Portable (en %)</a:t>
            </a:r>
            <a:endParaRPr lang="fr-F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rich>
      </c:tx>
      <c:overlay val="0"/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38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39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4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4">
                      <a:lumMod val="6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42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4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44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4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0"/>
          <c:showCatName val="0"/>
          <c:showSerName val="0"/>
          <c:showPercent val="0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48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49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50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5276771919396324"/>
          <c:y val="0.48826860117992316"/>
          <c:w val="0.55843387667897004"/>
          <c:h val="0.39051331653131938"/>
        </c:manualLayout>
      </c:layout>
      <c:pie3DChart>
        <c:varyColors val="1"/>
        <c:ser>
          <c:idx val="0"/>
          <c:order val="0"/>
          <c:tx>
            <c:strRef>
              <c:f>Feuil2!$B$73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99-4317-85C5-DAA119326D92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99-4317-85C5-DAA119326D9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99-4317-85C5-DAA119326D9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0699-4317-85C5-DAA119326D92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699-4317-85C5-DAA119326D92}"/>
              </c:ext>
            </c:extLst>
          </c:dPt>
          <c:dPt>
            <c:idx val="5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699-4317-85C5-DAA119326D92}"/>
              </c:ext>
            </c:extLst>
          </c:dPt>
          <c:dPt>
            <c:idx val="6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699-4317-85C5-DAA119326D9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0699-4317-85C5-DAA119326D9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0699-4317-85C5-DAA119326D92}"/>
              </c:ext>
            </c:extLst>
          </c:dPt>
          <c:dPt>
            <c:idx val="9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699-4317-85C5-DAA119326D9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2-0699-4317-85C5-DAA119326D9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3-0699-4317-85C5-DAA119326D9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4-0699-4317-85C5-DAA119326D92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3494BA"/>
                </a:solidFill>
                <a:round/>
              </a:ln>
              <a:effectLst>
                <a:outerShdw blurRad="50800" dist="38100" dir="2700000" algn="tl" rotWithShape="0">
                  <a:srgbClr val="3494BA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Feuil2!$A$74:$A$84</c:f>
              <c:strCache>
                <c:ptCount val="10"/>
                <c:pt idx="0">
                  <c:v>OCS Inventory</c:v>
                </c:pt>
                <c:pt idx="1">
                  <c:v>AdobeAcrobal-Reader</c:v>
                </c:pt>
                <c:pt idx="2">
                  <c:v>7-ZIP</c:v>
                </c:pt>
                <c:pt idx="3">
                  <c:v>Micro office 365</c:v>
                </c:pt>
                <c:pt idx="4">
                  <c:v>TEAM VIEWER</c:v>
                </c:pt>
                <c:pt idx="5">
                  <c:v>Adobe FLACH PLAYER</c:v>
                </c:pt>
                <c:pt idx="6">
                  <c:v>Micro office 2013</c:v>
                </c:pt>
                <c:pt idx="7">
                  <c:v>TEAM VIEWER 11</c:v>
                </c:pt>
                <c:pt idx="8">
                  <c:v>Micro office PLUS 2010</c:v>
                </c:pt>
                <c:pt idx="9">
                  <c:v>Office pro 2016</c:v>
                </c:pt>
              </c:strCache>
            </c:strRef>
          </c:cat>
          <c:val>
            <c:numRef>
              <c:f>Feuil2!$B$74:$B$84</c:f>
              <c:numCache>
                <c:formatCode>General</c:formatCode>
                <c:ptCount val="1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699-4317-85C5-DAA119326D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u="none"/>
              <a:t>Nombre d'intervention sur antivirus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Feuil2!$B$95:$B$96</c:f>
              <c:strCache>
                <c:ptCount val="1"/>
                <c:pt idx="0">
                  <c:v>PC Fixee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Feuil2!$A$97:$A$101</c:f>
              <c:strCache>
                <c:ptCount val="4"/>
                <c:pt idx="0">
                  <c:v>KASPERSKY</c:v>
                </c:pt>
                <c:pt idx="1">
                  <c:v>WIN DEFENDER</c:v>
                </c:pt>
                <c:pt idx="2">
                  <c:v>Security win defender</c:v>
                </c:pt>
                <c:pt idx="3">
                  <c:v>Microsoft securite essentiels</c:v>
                </c:pt>
              </c:strCache>
            </c:strRef>
          </c:cat>
          <c:val>
            <c:numRef>
              <c:f>Feuil2!$B$97:$B$101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7-40E2-BACD-44BBA1BFB34D}"/>
            </c:ext>
          </c:extLst>
        </c:ser>
        <c:ser>
          <c:idx val="1"/>
          <c:order val="1"/>
          <c:tx>
            <c:strRef>
              <c:f>Feuil2!$C$95:$C$96</c:f>
              <c:strCache>
                <c:ptCount val="1"/>
                <c:pt idx="0">
                  <c:v>PC Portable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Feuil2!$A$97:$A$101</c:f>
              <c:strCache>
                <c:ptCount val="4"/>
                <c:pt idx="0">
                  <c:v>KASPERSKY</c:v>
                </c:pt>
                <c:pt idx="1">
                  <c:v>WIN DEFENDER</c:v>
                </c:pt>
                <c:pt idx="2">
                  <c:v>Security win defender</c:v>
                </c:pt>
                <c:pt idx="3">
                  <c:v>Microsoft securite essentiels</c:v>
                </c:pt>
              </c:strCache>
            </c:strRef>
          </c:cat>
          <c:val>
            <c:numRef>
              <c:f>Feuil2!$C$97:$C$101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7-40E2-BACD-44BBA1BFB3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5902672"/>
        <c:axId val="215902280"/>
      </c:barChart>
      <c:catAx>
        <c:axId val="21590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902280"/>
        <c:crosses val="autoZero"/>
        <c:auto val="1"/>
        <c:lblAlgn val="ctr"/>
        <c:lblOffset val="100"/>
        <c:noMultiLvlLbl val="0"/>
      </c:catAx>
      <c:valAx>
        <c:axId val="21590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9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baseline="0">
                <a:effectLst/>
              </a:rPr>
              <a:t>POURCENTAGE d'intervention sur antivirus</a:t>
            </a:r>
            <a:endParaRPr lang="fr-FR" u="none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Feuil2!$B$114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B5-4826-AC00-D502359B213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B5-4826-AC00-D502359B2133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B5-4826-AC00-D502359B2133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3494BA"/>
                </a:solidFill>
                <a:round/>
              </a:ln>
              <a:effectLst>
                <a:outerShdw blurRad="50800" dist="38100" dir="2700000" algn="tl" rotWithShape="0">
                  <a:srgbClr val="3494BA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Feuil2!$A$115:$A$119</c:f>
              <c:strCache>
                <c:ptCount val="4"/>
                <c:pt idx="0">
                  <c:v>MALWARE</c:v>
                </c:pt>
                <c:pt idx="1">
                  <c:v>Microsoft securite essentiels</c:v>
                </c:pt>
                <c:pt idx="2">
                  <c:v>Security win defender</c:v>
                </c:pt>
                <c:pt idx="3">
                  <c:v>AVAST Security</c:v>
                </c:pt>
              </c:strCache>
            </c:strRef>
          </c:cat>
          <c:val>
            <c:numRef>
              <c:f>Feuil2!$B$115:$B$119</c:f>
              <c:numCache>
                <c:formatCode>General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B5-4826-AC00-D502359B213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u="none"/>
              <a:t>Nombre d'intervention par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5901888"/>
        <c:axId val="215897576"/>
      </c:barChart>
      <c:catAx>
        <c:axId val="2159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897576"/>
        <c:crosses val="autoZero"/>
        <c:auto val="1"/>
        <c:lblAlgn val="ctr"/>
        <c:lblOffset val="100"/>
        <c:noMultiLvlLbl val="0"/>
      </c:catAx>
      <c:valAx>
        <c:axId val="21589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590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baseline="0">
                <a:effectLst/>
              </a:rPr>
              <a:t>Pourcentage d'intervention par type</a:t>
            </a:r>
            <a:endParaRPr lang="fr-FR" sz="1200" u="none">
              <a:effectLst/>
            </a:endParaRPr>
          </a:p>
        </c:rich>
      </c:tx>
      <c:layout>
        <c:manualLayout>
          <c:xMode val="edge"/>
          <c:yMode val="edge"/>
          <c:x val="0.22141821633997877"/>
          <c:y val="6.1657032755298651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3E8-4CD4-831F-D5BB50DC2123}"/>
              </c:ext>
            </c:extLst>
          </c:dPt>
          <c:dPt>
            <c:idx val="1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E8-4CD4-831F-D5BB50DC212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3E8-4CD4-831F-D5BB50DC2123}"/>
              </c:ext>
            </c:extLst>
          </c:dPt>
          <c:dPt>
            <c:idx val="3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C5-410E-AF3C-A4D04CCCD225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3494BA"/>
                </a:solidFill>
                <a:round/>
              </a:ln>
              <a:effectLst>
                <a:outerShdw blurRad="50800" dist="38100" dir="2700000" algn="tl" rotWithShape="0">
                  <a:srgbClr val="3494BA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Feuil2!$A$16:$A$20</c:f>
              <c:strCache>
                <c:ptCount val="4"/>
                <c:pt idx="0">
                  <c:v>PC portable</c:v>
                </c:pt>
                <c:pt idx="1">
                  <c:v>ECRAN</c:v>
                </c:pt>
                <c:pt idx="2">
                  <c:v>Ordinateur de bureau</c:v>
                </c:pt>
                <c:pt idx="3">
                  <c:v>Fixe</c:v>
                </c:pt>
              </c:strCache>
            </c:strRef>
          </c:cat>
          <c:val>
            <c:numRef>
              <c:f>Feuil2!$B$16:$B$20</c:f>
              <c:numCache>
                <c:formatCode>General</c:formatCode>
                <c:ptCount val="4"/>
                <c:pt idx="0">
                  <c:v>49</c:v>
                </c:pt>
                <c:pt idx="1">
                  <c:v>43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8-4CD4-831F-D5BB50DC212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1T-2026.xlsx]Feuil2!Tableau croisé dynamique7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baseline="0">
                <a:effectLst/>
              </a:rPr>
              <a:t>Nombre de mise à jour par type de PC </a:t>
            </a:r>
            <a:endParaRPr lang="fr-FR" u="none">
              <a:effectLst/>
            </a:endParaRPr>
          </a:p>
        </c:rich>
      </c:tx>
      <c:layout>
        <c:manualLayout>
          <c:xMode val="edge"/>
          <c:yMode val="edge"/>
          <c:x val="0.14172942123742804"/>
          <c:y val="5.3333333333333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3494BA"/>
              </a:solidFill>
              <a:round/>
            </a:ln>
            <a:effectLst>
              <a:outerShdw blurRad="50800" dist="38100" dir="2700000" algn="tl" rotWithShape="0">
                <a:srgbClr val="3494BA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Feuil2!$B$135:$B$136</c:f>
              <c:strCache>
                <c:ptCount val="1"/>
                <c:pt idx="0">
                  <c:v>OK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10-4495-91CC-F6FFE0952458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10-4495-91CC-F6FFE0952458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3494BA"/>
                  </a:solidFill>
                  <a:round/>
                </a:ln>
                <a:effectLst>
                  <a:outerShdw blurRad="50800" dist="38100" dir="2700000" algn="tl" rotWithShape="0">
                    <a:srgbClr val="3494BA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10-4495-91CC-F6FFE0952458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3494BA"/>
                  </a:solidFill>
                  <a:round/>
                </a:ln>
                <a:effectLst>
                  <a:outerShdw blurRad="50800" dist="38100" dir="2700000" algn="tl" rotWithShape="0">
                    <a:srgbClr val="3494BA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10-4495-91CC-F6FFE0952458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3494BA"/>
                </a:solidFill>
                <a:round/>
              </a:ln>
              <a:effectLst>
                <a:outerShdw blurRad="50800" dist="38100" dir="2700000" algn="tl" rotWithShape="0">
                  <a:srgbClr val="3494BA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Feuil2!$A$137:$A$139</c:f>
              <c:strCache>
                <c:ptCount val="2"/>
                <c:pt idx="0">
                  <c:v>PC Portable</c:v>
                </c:pt>
                <c:pt idx="1">
                  <c:v>PC Fixe</c:v>
                </c:pt>
              </c:strCache>
            </c:strRef>
          </c:cat>
          <c:val>
            <c:numRef>
              <c:f>Feuil2!$B$137:$B$139</c:f>
              <c:numCache>
                <c:formatCode>General</c:formatCode>
                <c:ptCount val="2"/>
                <c:pt idx="0">
                  <c:v>16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10-4495-91CC-F6FFE095245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baseline="0">
                <a:effectLst/>
              </a:rPr>
              <a:t>Nombre d'intervention par Type (en nombre)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Feuil2!$C$191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Feuil2!$B$192:$B$194</c:f>
              <c:numCache>
                <c:formatCode>General</c:formatCode>
                <c:ptCount val="3"/>
              </c:numCache>
            </c:numRef>
          </c:cat>
          <c:val>
            <c:numRef>
              <c:f>Feuil2!$C$192:$C$194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A4D-494B-A4B7-9E09603A43D8}"/>
            </c:ext>
          </c:extLst>
        </c:ser>
        <c:ser>
          <c:idx val="1"/>
          <c:order val="1"/>
          <c:tx>
            <c:strRef>
              <c:f>Feuil2!$D$191</c:f>
              <c:strCache>
                <c:ptCount val="1"/>
                <c:pt idx="0">
                  <c:v>FUJITSU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Feuil2!$B$192:$B$194</c:f>
              <c:numCache>
                <c:formatCode>General</c:formatCode>
                <c:ptCount val="3"/>
              </c:numCache>
            </c:numRef>
          </c:cat>
          <c:val>
            <c:numRef>
              <c:f>Feuil2!$D$192:$D$194</c:f>
              <c:numCache>
                <c:formatCode>General</c:formatCode>
                <c:ptCount val="3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D-494B-A4B7-9E09603A43D8}"/>
            </c:ext>
          </c:extLst>
        </c:ser>
        <c:ser>
          <c:idx val="2"/>
          <c:order val="2"/>
          <c:tx>
            <c:strRef>
              <c:f>Feuil2!$E$191</c:f>
              <c:strCache>
                <c:ptCount val="1"/>
                <c:pt idx="0">
                  <c:v>HP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Feuil2!$B$192:$B$194</c:f>
              <c:numCache>
                <c:formatCode>General</c:formatCode>
                <c:ptCount val="3"/>
              </c:numCache>
            </c:numRef>
          </c:cat>
          <c:val>
            <c:numRef>
              <c:f>Feuil2!$E$192:$E$194</c:f>
              <c:numCache>
                <c:formatCode>General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4D-494B-A4B7-9E09603A43D8}"/>
            </c:ext>
          </c:extLst>
        </c:ser>
        <c:ser>
          <c:idx val="3"/>
          <c:order val="3"/>
          <c:tx>
            <c:strRef>
              <c:f>Feuil2!$F$191</c:f>
              <c:strCache>
                <c:ptCount val="1"/>
                <c:pt idx="0">
                  <c:v>MAC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Feuil2!$B$192:$B$194</c:f>
              <c:numCache>
                <c:formatCode>General</c:formatCode>
                <c:ptCount val="3"/>
              </c:numCache>
            </c:numRef>
          </c:cat>
          <c:val>
            <c:numRef>
              <c:f>Feuil2!$F$192:$F$194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4D-494B-A4B7-9E09603A43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392336"/>
        <c:axId val="179405232"/>
      </c:barChart>
      <c:catAx>
        <c:axId val="179392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05232"/>
        <c:crosses val="autoZero"/>
        <c:auto val="1"/>
        <c:lblAlgn val="ctr"/>
        <c:lblOffset val="100"/>
        <c:tickLblSkip val="1"/>
        <c:tickMarkSkip val="5"/>
        <c:noMultiLvlLbl val="0"/>
      </c:catAx>
      <c:valAx>
        <c:axId val="1794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9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Nombre d'intervention par Type (en %)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Feuil2!$G$191</c:f>
              <c:strCache>
                <c:ptCount val="1"/>
                <c:pt idx="0">
                  <c:v>Total général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7C3-486D-8081-F95CE4EEA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0-42E1-8DBE-34F40F96B5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0-42E1-8DBE-34F40F96B5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Feuil2!$B$192:$B$194</c:f>
              <c:numCache>
                <c:formatCode>General</c:formatCode>
                <c:ptCount val="3"/>
              </c:numCache>
            </c:numRef>
          </c:cat>
          <c:val>
            <c:numRef>
              <c:f>Feuil2!$G$192:$G$194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3-486D-8081-F95CE4EE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baseline="0">
                <a:effectLst/>
              </a:rPr>
              <a:t>Nombre d'intervention par Type (en nombre)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Feuil2!$A$32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Feuil2!$B$31:$F$31</c:f>
              <c:strCache>
                <c:ptCount val="5"/>
                <c:pt idx="2">
                  <c:v>HP</c:v>
                </c:pt>
                <c:pt idx="3">
                  <c:v>MAC</c:v>
                </c:pt>
                <c:pt idx="4">
                  <c:v>LENOVO</c:v>
                </c:pt>
              </c:strCache>
            </c:strRef>
          </c:cat>
          <c:val>
            <c:numRef>
              <c:f>Feuil2!$B$32:$F$32</c:f>
              <c:numCache>
                <c:formatCode>General</c:formatCode>
                <c:ptCount val="5"/>
                <c:pt idx="2">
                  <c:v>0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B-4CB5-A3FD-6F2F3852561D}"/>
            </c:ext>
          </c:extLst>
        </c:ser>
        <c:ser>
          <c:idx val="1"/>
          <c:order val="1"/>
          <c:tx>
            <c:strRef>
              <c:f>Feuil2!$A$33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Feuil2!$B$31:$F$31</c:f>
              <c:strCache>
                <c:ptCount val="5"/>
                <c:pt idx="2">
                  <c:v>HP</c:v>
                </c:pt>
                <c:pt idx="3">
                  <c:v>MAC</c:v>
                </c:pt>
                <c:pt idx="4">
                  <c:v>LENOVO</c:v>
                </c:pt>
              </c:strCache>
            </c:strRef>
          </c:cat>
          <c:val>
            <c:numRef>
              <c:f>Feuil2!$B$33:$F$33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B-4CB5-A3FD-6F2F3852561D}"/>
            </c:ext>
          </c:extLst>
        </c:ser>
        <c:ser>
          <c:idx val="2"/>
          <c:order val="2"/>
          <c:tx>
            <c:strRef>
              <c:f>Feuil2!$A$34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Feuil2!$B$31:$F$31</c:f>
              <c:strCache>
                <c:ptCount val="5"/>
                <c:pt idx="2">
                  <c:v>HP</c:v>
                </c:pt>
                <c:pt idx="3">
                  <c:v>MAC</c:v>
                </c:pt>
                <c:pt idx="4">
                  <c:v>LENOVO</c:v>
                </c:pt>
              </c:strCache>
            </c:strRef>
          </c:cat>
          <c:val>
            <c:numRef>
              <c:f>Feuil2!$B$34:$F$34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B-4CB5-A3FD-6F2F385256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317567"/>
        <c:axId val="1685317983"/>
      </c:barChart>
      <c:catAx>
        <c:axId val="168531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317983"/>
        <c:crosses val="autoZero"/>
        <c:auto val="1"/>
        <c:lblAlgn val="ctr"/>
        <c:lblOffset val="100"/>
        <c:noMultiLvlLbl val="0"/>
      </c:catAx>
      <c:valAx>
        <c:axId val="168531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3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Feuil2!$B$39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A5-4DFE-BDAB-91B8B9AAD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A5-4DFE-BDAB-91B8B9AAD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A5-4DFE-BDAB-91B8B9AAD5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Feuil2!$A$40:$A$42</c:f>
              <c:strCache>
                <c:ptCount val="3"/>
                <c:pt idx="2">
                  <c:v>Ecran</c:v>
                </c:pt>
              </c:strCache>
            </c:strRef>
          </c:cat>
          <c:val>
            <c:numRef>
              <c:f>Feuil2!$B$40:$B$42</c:f>
              <c:numCache>
                <c:formatCode>General</c:formatCode>
                <c:ptCount val="3"/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3-441E-B9C3-702C8110EB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1T-2026.xlsx]Feuil1!Tableau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mise à jour par type</a:t>
            </a:r>
            <a:r>
              <a:rPr lang="en-US" baseline="0"/>
              <a:t> de PC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Feuil1!$A$17:$A$19</c:f>
              <c:strCache>
                <c:ptCount val="2"/>
                <c:pt idx="0">
                  <c:v>Ordinateur de bureau</c:v>
                </c:pt>
                <c:pt idx="1">
                  <c:v>PC portable</c:v>
                </c:pt>
              </c:strCache>
            </c:strRef>
          </c:cat>
          <c:val>
            <c:numRef>
              <c:f>Feuil1!$B$17:$B$19</c:f>
              <c:numCache>
                <c:formatCode>General</c:formatCode>
                <c:ptCount val="2"/>
                <c:pt idx="0">
                  <c:v>9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3A8-B850-C54FE748EB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1304048"/>
        <c:axId val="1280017440"/>
      </c:barChart>
      <c:catAx>
        <c:axId val="128130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0017440"/>
        <c:crosses val="autoZero"/>
        <c:auto val="1"/>
        <c:lblAlgn val="ctr"/>
        <c:lblOffset val="100"/>
        <c:noMultiLvlLbl val="0"/>
      </c:catAx>
      <c:valAx>
        <c:axId val="12800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130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 MP AMEE RABAT 1T-2026.xlsx]Feuil1!Tableau croisé dynamique4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mise à jour par type de PC en (%)</a:t>
            </a:r>
            <a:endParaRPr lang="fr-FR"/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Feuil1!$B$16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51A-4690-AEBF-9DF36914E8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51A-4690-AEBF-9DF36914E83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Feuil1!$A$17:$A$19</c:f>
              <c:strCache>
                <c:ptCount val="2"/>
                <c:pt idx="0">
                  <c:v>Ordinateur de bureau</c:v>
                </c:pt>
                <c:pt idx="1">
                  <c:v>PC portable</c:v>
                </c:pt>
              </c:strCache>
            </c:strRef>
          </c:cat>
          <c:val>
            <c:numRef>
              <c:f>Feuil1!$B$17:$B$19</c:f>
              <c:numCache>
                <c:formatCode>General</c:formatCode>
                <c:ptCount val="2"/>
                <c:pt idx="0">
                  <c:v>9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9-473E-86EC-045F11F66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51</xdr:row>
      <xdr:rowOff>133350</xdr:rowOff>
    </xdr:from>
    <xdr:to>
      <xdr:col>11</xdr:col>
      <xdr:colOff>457199</xdr:colOff>
      <xdr:row>67</xdr:row>
      <xdr:rowOff>114299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723900</xdr:colOff>
      <xdr:row>129</xdr:row>
      <xdr:rowOff>128587</xdr:rowOff>
    </xdr:from>
    <xdr:to>
      <xdr:col>8</xdr:col>
      <xdr:colOff>295275</xdr:colOff>
      <xdr:row>140</xdr:row>
      <xdr:rowOff>123825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143</xdr:row>
      <xdr:rowOff>185737</xdr:rowOff>
    </xdr:from>
    <xdr:to>
      <xdr:col>10</xdr:col>
      <xdr:colOff>190500</xdr:colOff>
      <xdr:row>157</xdr:row>
      <xdr:rowOff>185737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133349</xdr:colOff>
      <xdr:row>160</xdr:row>
      <xdr:rowOff>176212</xdr:rowOff>
    </xdr:from>
    <xdr:to>
      <xdr:col>10</xdr:col>
      <xdr:colOff>504824</xdr:colOff>
      <xdr:row>175</xdr:row>
      <xdr:rowOff>61912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600075</xdr:colOff>
      <xdr:row>70</xdr:row>
      <xdr:rowOff>171450</xdr:rowOff>
    </xdr:from>
    <xdr:to>
      <xdr:col>7</xdr:col>
      <xdr:colOff>742950</xdr:colOff>
      <xdr:row>87</xdr:row>
      <xdr:rowOff>90487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28575</xdr:colOff>
      <xdr:row>94</xdr:row>
      <xdr:rowOff>23812</xdr:rowOff>
    </xdr:from>
    <xdr:to>
      <xdr:col>10</xdr:col>
      <xdr:colOff>409575</xdr:colOff>
      <xdr:row>108</xdr:row>
      <xdr:rowOff>100012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123825</xdr:colOff>
      <xdr:row>111</xdr:row>
      <xdr:rowOff>61912</xdr:rowOff>
    </xdr:from>
    <xdr:to>
      <xdr:col>9</xdr:col>
      <xdr:colOff>266700</xdr:colOff>
      <xdr:row>125</xdr:row>
      <xdr:rowOff>138112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352424</xdr:colOff>
      <xdr:row>1</xdr:row>
      <xdr:rowOff>71437</xdr:rowOff>
    </xdr:from>
    <xdr:to>
      <xdr:col>13</xdr:col>
      <xdr:colOff>685799</xdr:colOff>
      <xdr:row>15</xdr:row>
      <xdr:rowOff>147637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476250</xdr:colOff>
      <xdr:row>9</xdr:row>
      <xdr:rowOff>161925</xdr:rowOff>
    </xdr:from>
    <xdr:to>
      <xdr:col>6</xdr:col>
      <xdr:colOff>819150</xdr:colOff>
      <xdr:row>18</xdr:row>
      <xdr:rowOff>95250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485774</xdr:colOff>
      <xdr:row>130</xdr:row>
      <xdr:rowOff>38099</xdr:rowOff>
    </xdr:from>
    <xdr:to>
      <xdr:col>12</xdr:col>
      <xdr:colOff>609600</xdr:colOff>
      <xdr:row>141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19050</xdr:colOff>
      <xdr:row>196</xdr:row>
      <xdr:rowOff>147637</xdr:rowOff>
    </xdr:from>
    <xdr:to>
      <xdr:col>9</xdr:col>
      <xdr:colOff>161925</xdr:colOff>
      <xdr:row>211</xdr:row>
      <xdr:rowOff>33337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438150</xdr:colOff>
      <xdr:row>197</xdr:row>
      <xdr:rowOff>42862</xdr:rowOff>
    </xdr:from>
    <xdr:to>
      <xdr:col>2</xdr:col>
      <xdr:colOff>266700</xdr:colOff>
      <xdr:row>211</xdr:row>
      <xdr:rowOff>119062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9525</xdr:colOff>
      <xdr:row>21</xdr:row>
      <xdr:rowOff>61912</xdr:rowOff>
    </xdr:from>
    <xdr:to>
      <xdr:col>12</xdr:col>
      <xdr:colOff>723900</xdr:colOff>
      <xdr:row>34</xdr:row>
      <xdr:rowOff>28575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390525</xdr:colOff>
      <xdr:row>36</xdr:row>
      <xdr:rowOff>28575</xdr:rowOff>
    </xdr:from>
    <xdr:to>
      <xdr:col>7</xdr:col>
      <xdr:colOff>409575</xdr:colOff>
      <xdr:row>45</xdr:row>
      <xdr:rowOff>33336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10</xdr:row>
      <xdr:rowOff>118110</xdr:rowOff>
    </xdr:from>
    <xdr:to>
      <xdr:col>9</xdr:col>
      <xdr:colOff>1584960</xdr:colOff>
      <xdr:row>25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82BD65-2F04-492E-9424-ED044A92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10</xdr:row>
      <xdr:rowOff>110490</xdr:rowOff>
    </xdr:from>
    <xdr:to>
      <xdr:col>15</xdr:col>
      <xdr:colOff>144780</xdr:colOff>
      <xdr:row>25</xdr:row>
      <xdr:rowOff>110490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48E812D-CD2D-4E66-9E85-75BD84EA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1866900</xdr:colOff>
      <xdr:row>0</xdr:row>
      <xdr:rowOff>69273</xdr:rowOff>
    </xdr:from>
    <xdr:to>
      <xdr:col>9</xdr:col>
      <xdr:colOff>2114376</xdr:colOff>
      <xdr:row>2</xdr:row>
      <xdr:rowOff>297873</xdr:rowOff>
    </xdr:to>
    <xdr:pic>
      <xdr:nvPicPr>
        <xdr:cNvPr id="2" name="Image 27" descr="Résultat de recherche d'images pour &quot;amee logo&quot;">
          <a:extLst>
            <a:ext uri="{FF2B5EF4-FFF2-40B4-BE49-F238E27FC236}">
              <a16:creationId xmlns:a16="http://schemas.microsoft.com/office/drawing/2014/main" id="{58845079-EFE1-4519-9EDE-6A627DD7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7355" y="69273"/>
          <a:ext cx="2233294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37370</xdr:rowOff>
    </xdr:to>
    <xdr:pic>
      <xdr:nvPicPr>
        <xdr:cNvPr id="4" name="Image 448">
          <a:extLst>
            <a:ext uri="{FF2B5EF4-FFF2-40B4-BE49-F238E27FC236}">
              <a16:creationId xmlns:a16="http://schemas.microsoft.com/office/drawing/2014/main" id="{1CD5B091-8107-4E8D-A12E-6686EEACF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71699" cy="799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1511300</xdr:colOff>
      <xdr:row>0</xdr:row>
      <xdr:rowOff>38100</xdr:rowOff>
    </xdr:from>
    <xdr:to>
      <xdr:col>4</xdr:col>
      <xdr:colOff>1752600</xdr:colOff>
      <xdr:row>2</xdr:row>
      <xdr:rowOff>266993</xdr:rowOff>
    </xdr:to>
    <xdr:pic>
      <xdr:nvPicPr>
        <xdr:cNvPr id="2" name="Image 27" descr="Résultat de recherche d'images pour &quot;amee logo&quot;">
          <a:extLst>
            <a:ext uri="{FF2B5EF4-FFF2-40B4-BE49-F238E27FC236}">
              <a16:creationId xmlns:a16="http://schemas.microsoft.com/office/drawing/2014/main" id="{A92CF4BE-A0DD-41B5-BB9F-3DCF8C24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38100"/>
          <a:ext cx="1981200" cy="813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25401</xdr:colOff>
      <xdr:row>0</xdr:row>
      <xdr:rowOff>0</xdr:rowOff>
    </xdr:from>
    <xdr:to>
      <xdr:col>1</xdr:col>
      <xdr:colOff>12700</xdr:colOff>
      <xdr:row>2</xdr:row>
      <xdr:rowOff>215170</xdr:rowOff>
    </xdr:to>
    <xdr:pic>
      <xdr:nvPicPr>
        <xdr:cNvPr id="3" name="Image 448">
          <a:extLst>
            <a:ext uri="{FF2B5EF4-FFF2-40B4-BE49-F238E27FC236}">
              <a16:creationId xmlns:a16="http://schemas.microsoft.com/office/drawing/2014/main" id="{75D4E9D7-5FDE-48C8-BFD5-3106F7A36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1" y="0"/>
          <a:ext cx="2171699" cy="799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1150620</xdr:colOff>
      <xdr:row>0</xdr:row>
      <xdr:rowOff>68580</xdr:rowOff>
    </xdr:from>
    <xdr:to>
      <xdr:col>5</xdr:col>
      <xdr:colOff>1666240</xdr:colOff>
      <xdr:row>3</xdr:row>
      <xdr:rowOff>30773</xdr:rowOff>
    </xdr:to>
    <xdr:pic>
      <xdr:nvPicPr>
        <xdr:cNvPr id="2" name="Image 27" descr="Résultat de recherche d'images pour &quot;amee logo&quot;">
          <a:extLst>
            <a:ext uri="{FF2B5EF4-FFF2-40B4-BE49-F238E27FC236}">
              <a16:creationId xmlns:a16="http://schemas.microsoft.com/office/drawing/2014/main" id="{7E5E8486-E19D-4610-9AA6-E2F343D8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0720" y="68580"/>
          <a:ext cx="2065020" cy="76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12700</xdr:rowOff>
    </xdr:from>
    <xdr:to>
      <xdr:col>1</xdr:col>
      <xdr:colOff>1460499</xdr:colOff>
      <xdr:row>2</xdr:row>
      <xdr:rowOff>227870</xdr:rowOff>
    </xdr:to>
    <xdr:pic>
      <xdr:nvPicPr>
        <xdr:cNvPr id="3" name="Image 448">
          <a:extLst>
            <a:ext uri="{FF2B5EF4-FFF2-40B4-BE49-F238E27FC236}">
              <a16:creationId xmlns:a16="http://schemas.microsoft.com/office/drawing/2014/main" id="{860112C2-FB9F-4FED-B6E4-2DF122951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"/>
          <a:ext cx="2197099" cy="748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1524000</xdr:colOff>
      <xdr:row>0</xdr:row>
      <xdr:rowOff>76200</xdr:rowOff>
    </xdr:from>
    <xdr:to>
      <xdr:col>6</xdr:col>
      <xdr:colOff>701040</xdr:colOff>
      <xdr:row>3</xdr:row>
      <xdr:rowOff>38393</xdr:rowOff>
    </xdr:to>
    <xdr:pic>
      <xdr:nvPicPr>
        <xdr:cNvPr id="2" name="Image 27" descr="Résultat de recherche d'images pour &quot;amee logo&quot;">
          <a:extLst>
            <a:ext uri="{FF2B5EF4-FFF2-40B4-BE49-F238E27FC236}">
              <a16:creationId xmlns:a16="http://schemas.microsoft.com/office/drawing/2014/main" id="{E85DCB7F-D94A-40AB-A7A7-E0DC85A8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76200"/>
          <a:ext cx="2059940" cy="64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25400</xdr:colOff>
      <xdr:row>0</xdr:row>
      <xdr:rowOff>1</xdr:rowOff>
    </xdr:from>
    <xdr:to>
      <xdr:col>1</xdr:col>
      <xdr:colOff>1498600</xdr:colOff>
      <xdr:row>3</xdr:row>
      <xdr:rowOff>113505</xdr:rowOff>
    </xdr:to>
    <xdr:pic>
      <xdr:nvPicPr>
        <xdr:cNvPr id="4" name="Image 448">
          <a:extLst>
            <a:ext uri="{FF2B5EF4-FFF2-40B4-BE49-F238E27FC236}">
              <a16:creationId xmlns:a16="http://schemas.microsoft.com/office/drawing/2014/main" id="{83B352E7-1F0C-434B-92D0-29998455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"/>
          <a:ext cx="2489200" cy="799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D:/jihane2/MP-MC/MARCHE/AMEE/MP/2020/2T-2020/MP%20AMEE%20RABAT%202T-202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005.735410532405" createdVersion="5" refreshedVersion="5" minRefreshableVersion="3" recordCount="34" xr:uid="{00000000-000A-0000-FFFF-FFFF05000000}">
  <cacheSource type="worksheet">
    <worksheetSource name="Tableau157" r:id="rId2"/>
  </cacheSource>
  <cacheFields count="4">
    <cacheField name="Personnes" numFmtId="0">
      <sharedItems/>
    </cacheField>
    <cacheField name="Nom" numFmtId="0">
      <sharedItems containsBlank="1" count="5">
        <m/>
        <s v="Security win defender"/>
        <s v="Microsoft securite essentiels"/>
        <s v="MALWARE"/>
        <s v="AVAST Security"/>
      </sharedItems>
    </cacheField>
    <cacheField name="Version" numFmtId="0">
      <sharedItems containsBlank="1"/>
    </cacheField>
    <cacheField name="PC (Lien)" numFmtId="0">
      <sharedItems count="2">
        <s v="PC Portable"/>
        <s v="PC Fix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852.666777430553" createdVersion="6" refreshedVersion="6" minRefreshableVersion="3" recordCount="94" xr:uid="{00000000-000A-0000-FFFF-FFFF0D000000}">
  <cacheSource type="worksheet">
    <worksheetSource name="Tableau15"/>
  </cacheSource>
  <cacheFields count="5">
    <cacheField name="Personnes" numFmtId="0">
      <sharedItems/>
    </cacheField>
    <cacheField name="Nature de l'application" numFmtId="0">
      <sharedItems count="11">
        <s v="Micro office 365"/>
        <s v="OCS Inventory"/>
        <s v="AdobeAcrobal-Reader"/>
        <s v="TEAM VIEWER"/>
        <s v="7-ZIP"/>
        <s v="TEAM VIEWER 11"/>
        <s v="Adobe FLACH PLAYER"/>
        <s v="Micro office 2013"/>
        <s v="Office pro 2016"/>
        <s v="Micro office PLUS 2010"/>
        <s v="Micro office 2007" u="1"/>
      </sharedItems>
    </cacheField>
    <cacheField name="Editeur" numFmtId="0">
      <sharedItems count="2">
        <s v="PC Portable"/>
        <s v="PC Fixe"/>
      </sharedItems>
    </cacheField>
    <cacheField name="Version" numFmtId="0">
      <sharedItems/>
    </cacheField>
    <cacheField name="Utilisateu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852.673403009256" createdVersion="6" refreshedVersion="6" minRefreshableVersion="3" recordCount="21" xr:uid="{00000000-000A-0000-FFFF-FFFF11000000}">
  <cacheSource type="worksheet">
    <worksheetSource name="Tableau157"/>
  </cacheSource>
  <cacheFields count="4">
    <cacheField name="Personnes" numFmtId="0">
      <sharedItems/>
    </cacheField>
    <cacheField name="Nom" numFmtId="0">
      <sharedItems count="4">
        <s v="KASPERSKY"/>
        <s v="WIN DEFENDER"/>
        <s v="Microsoft securite essentiels"/>
        <s v="Security win defender"/>
      </sharedItems>
    </cacheField>
    <cacheField name="Version" numFmtId="0">
      <sharedItems containsBlank="1"/>
    </cacheField>
    <cacheField name="PC (Lien)" numFmtId="0">
      <sharedItems count="2">
        <s v="PC Portable"/>
        <s v="PC Fix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852.673986458336" createdVersion="6" refreshedVersion="6" minRefreshableVersion="3" recordCount="24" xr:uid="{00000000-000A-0000-FFFF-FFFF15000000}">
  <cacheSource type="worksheet">
    <worksheetSource name="Tableau1574"/>
  </cacheSource>
  <cacheFields count="5">
    <cacheField name="Personnes" numFmtId="0">
      <sharedItems/>
    </cacheField>
    <cacheField name="PC " numFmtId="0">
      <sharedItems count="2">
        <s v="PC Portable"/>
        <s v="PC Fixe"/>
      </sharedItems>
    </cacheField>
    <cacheField name="Nettoyage de disque" numFmtId="0">
      <sharedItems/>
    </cacheField>
    <cacheField name="Fichiers temporaires" numFmtId="0">
      <sharedItems/>
    </cacheField>
    <cacheField name="Mise à jour windows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852.676713657405" createdVersion="6" refreshedVersion="6" minRefreshableVersion="3" recordCount="12" xr:uid="{00000000-000A-0000-FFFF-FFFF19000000}">
  <cacheSource type="worksheet">
    <worksheetSource name="Tableau15746"/>
  </cacheSource>
  <cacheFields count="6">
    <cacheField name="Personnes" numFmtId="0">
      <sharedItems containsBlank="1"/>
    </cacheField>
    <cacheField name="Type" numFmtId="0">
      <sharedItems count="7">
        <s v="Scanner"/>
        <s v="Imprimante"/>
        <s v="Imprimante multifonction"/>
        <s v="Photocopieur"/>
        <s v="Imprimante Tickets"/>
        <s v="Imprimante color" u="1"/>
        <s v="FAX" u="1"/>
      </sharedItems>
    </cacheField>
    <cacheField name="Modèle" numFmtId="0">
      <sharedItems/>
    </cacheField>
    <cacheField name="Emplacement" numFmtId="0">
      <sharedItems containsBlank="1"/>
    </cacheField>
    <cacheField name="N° de série" numFmtId="0">
      <sharedItems containsMixedTypes="1" containsNumber="1" containsInteger="1" minValue="53905128" maxValue="3713791698"/>
    </cacheField>
    <cacheField name="Statut" numFmtId="0">
      <sharedItems containsBlank="1" count="3">
        <s v="OK"/>
        <s v="EN PANNE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147.687220949076" createdVersion="6" refreshedVersion="6" minRefreshableVersion="3" recordCount="101" xr:uid="{00000000-000A-0000-FFFF-FFFF09000000}">
  <cacheSource type="worksheet">
    <worksheetSource name="Tableau1"/>
  </cacheSource>
  <cacheFields count="18">
    <cacheField name="Personnes" numFmtId="0">
      <sharedItems/>
    </cacheField>
    <cacheField name="Type" numFmtId="0">
      <sharedItems containsBlank="1" count="7">
        <s v="PC portable"/>
        <s v="Ordinateur de bureau"/>
        <s v="Fixe"/>
        <s v="ECRAN"/>
        <m u="1"/>
        <s v="Bureau" u="1"/>
        <s v="Portable" u="1"/>
      </sharedItems>
    </cacheField>
    <cacheField name="Marque2" numFmtId="0">
      <sharedItems count="7">
        <s v="ASUS"/>
        <s v="DELL "/>
        <s v="LENOVO"/>
        <s v="IMAC"/>
        <s v="FUJITSU"/>
        <s v="HP"/>
        <s v="DELL" u="1"/>
      </sharedItems>
    </cacheField>
    <cacheField name="Désigniation" numFmtId="0">
      <sharedItems containsBlank="1" count="35">
        <s v="ASUSvivobook"/>
        <s v="DELL XPS 13 9370"/>
        <s v="ThinkPad T14 Gen 4"/>
        <s v="ThinkPad X1 Carbon Gen 13"/>
        <s v="IMAC"/>
        <s v="ThinkPad T14 Gen 5"/>
        <s v="Latitude 7420"/>
        <s v="dell latitude 7430"/>
        <s v="LENOVO X1 CARBON"/>
        <s v="LIFEBOOK U937"/>
        <s v="Macbook P10 A1707"/>
        <s v="Macbook Pro"/>
        <s v="MacBookPro11,4"/>
        <s v="OptiPlex 3280 AIO"/>
        <s v="ThinkPad T14 Gen 3"/>
        <s v="dell latitude 7490"/>
        <s v="dell latitude 5410"/>
        <s v="HP ProOne 240 G10"/>
        <s v="Latitude 7421"/>
        <s v="ThinkPad X1 Carbon Gen 8"/>
        <s v="XPS 13 9380"/>
        <s v="ThinkPad X1 Carbon Gen 10"/>
        <s v="ThinkPad X1 Carbon Gen 11"/>
        <s v="DELL OPTIPLEX 7060"/>
        <s v="fujitsu  lifebook u937"/>
        <s v="DELL OPTIPLEX 3280 AIO"/>
        <s v="Dell optiplex 9020"/>
        <s v=" P2425HE"/>
        <m/>
        <s v=" P2419H"/>
        <s v=" P2214H5"/>
        <s v="P2415Qb"/>
        <s v=" P2424HE"/>
        <s v=" V241a"/>
        <s v="P2425HE"/>
      </sharedItems>
    </cacheField>
    <cacheField name="Système d'expoitation" numFmtId="0">
      <sharedItems containsBlank="1"/>
    </cacheField>
    <cacheField name="espace disque dur" numFmtId="0">
      <sharedItems containsBlank="1"/>
    </cacheField>
    <cacheField name="RAM" numFmtId="0">
      <sharedItems containsBlank="1"/>
    </cacheField>
    <cacheField name="espace liber" numFmtId="0">
      <sharedItems containsBlank="1"/>
    </cacheField>
    <cacheField name="CPU(Microprocesseur)" numFmtId="0">
      <sharedItems containsBlank="1"/>
    </cacheField>
    <cacheField name="N°de série de la machine" numFmtId="0">
      <sharedItems containsBlank="1"/>
    </cacheField>
    <cacheField name="Modèle de la machine " numFmtId="0">
      <sharedItems containsBlank="1"/>
    </cacheField>
    <cacheField name="Statut" numFmtId="0">
      <sharedItems containsBlank="1"/>
    </cacheField>
    <cacheField name="Ecran" numFmtId="0">
      <sharedItems containsBlank="1"/>
    </cacheField>
    <cacheField name="N° de série de écran" numFmtId="0">
      <sharedItems containsBlank="1"/>
    </cacheField>
    <cacheField name="Misa a jour win" numFmtId="0">
      <sharedItems containsBlank="1"/>
    </cacheField>
    <cacheField name="manger engine " numFmtId="0">
      <sharedItems containsBlank="1"/>
    </cacheField>
    <cacheField name="Antivirus kas" numFmtId="0">
      <sharedItems containsBlank="1"/>
    </cacheField>
    <cacheField name="Netayge syste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163.427869560182" backgroundQuery="1" createdVersion="6" refreshedVersion="6" minRefreshableVersion="3" recordCount="0" supportSubquery="1" supportAdvancedDrill="1" xr:uid="{5D3D1170-41F4-4E57-8D8E-F0DB101DD71B}">
  <cacheSource type="external" connectionId="1"/>
  <cacheFields count="2">
    <cacheField name="[Tableau1574].[TYPES].[TYPES]" caption="TYPES" numFmtId="0" hierarchy="1" level="1">
      <sharedItems count="2">
        <s v="Ordinateur de bureau"/>
        <s v="PC portable"/>
      </sharedItems>
    </cacheField>
    <cacheField name="[Measures].[Nombre de TYPES]" caption="Nombre de TYPES" numFmtId="0" hierarchy="7" level="32767"/>
  </cacheFields>
  <cacheHierarchies count="8">
    <cacheHierarchy uniqueName="[Tableau1574].[Personnes]" caption="Personnes" attribute="1" defaultMemberUniqueName="[Tableau1574].[Personnes].[All]" allUniqueName="[Tableau1574].[Personnes].[All]" dimensionUniqueName="[Tableau1574]" displayFolder="" count="0" memberValueDatatype="130" unbalanced="0"/>
    <cacheHierarchy uniqueName="[Tableau1574].[TYPES]" caption="TYPES" attribute="1" defaultMemberUniqueName="[Tableau1574].[TYPES].[All]" allUniqueName="[Tableau1574].[TYPES].[All]" dimensionUniqueName="[Tableau1574]" displayFolder="" count="2" memberValueDatatype="130" unbalanced="0">
      <fieldsUsage count="2">
        <fieldUsage x="-1"/>
        <fieldUsage x="0"/>
      </fieldsUsage>
    </cacheHierarchy>
    <cacheHierarchy uniqueName="[Tableau1574].[Nettoyage de disque]" caption="Nettoyage de disque" attribute="1" defaultMemberUniqueName="[Tableau1574].[Nettoyage de disque].[All]" allUniqueName="[Tableau1574].[Nettoyage de disque].[All]" dimensionUniqueName="[Tableau1574]" displayFolder="" count="0" memberValueDatatype="130" unbalanced="0"/>
    <cacheHierarchy uniqueName="[Tableau1574].[Fichiers temporaires]" caption="Fichiers temporaires" attribute="1" defaultMemberUniqueName="[Tableau1574].[Fichiers temporaires].[All]" allUniqueName="[Tableau1574].[Fichiers temporaires].[All]" dimensionUniqueName="[Tableau1574]" displayFolder="" count="0" memberValueDatatype="130" unbalanced="0"/>
    <cacheHierarchy uniqueName="[Tableau1574].[Mise à jour windows]" caption="Mise à jour windows" attribute="1" defaultMemberUniqueName="[Tableau1574].[Mise à jour windows].[All]" allUniqueName="[Tableau1574].[Mise à jour windows].[All]" dimensionUniqueName="[Tableau1574]" displayFolder="" count="0" memberValueDatatype="130" unbalanced="0"/>
    <cacheHierarchy uniqueName="[Measures].[__XL_Count Tableau1574]" caption="__XL_Count Tableau1574" measure="1" displayFolder="" measureGroup="Tableau1574" count="0" hidden="1"/>
    <cacheHierarchy uniqueName="[Measures].[__No measures defined]" caption="__No measures defined" measure="1" displayFolder="" count="0" hidden="1"/>
    <cacheHierarchy uniqueName="[Measures].[Nombre de TYPES]" caption="Nombre de TYPES" measure="1" displayFolder="" measureGroup="Tableau157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au1574" uniqueName="[Tableau1574]" caption="Tableau1574"/>
  </dimensions>
  <measureGroups count="1">
    <measureGroup name="Tableau1574" caption="Tableau157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OTMAN BENKESKSSOU"/>
    <x v="0"/>
    <m/>
    <x v="0"/>
  </r>
  <r>
    <s v="OTMAN BENKESKSSOU"/>
    <x v="0"/>
    <m/>
    <x v="1"/>
  </r>
  <r>
    <s v="WAFAE ELFJIJI"/>
    <x v="1"/>
    <m/>
    <x v="1"/>
  </r>
  <r>
    <s v="JIHANE ATMANI"/>
    <x v="2"/>
    <s v="4.10.209.0"/>
    <x v="1"/>
  </r>
  <r>
    <s v="RAJRAJI MOUHAMED"/>
    <x v="2"/>
    <s v="4.10.209.0"/>
    <x v="1"/>
  </r>
  <r>
    <s v="SABRINA ELASRI"/>
    <x v="2"/>
    <s v="4.10.209.0"/>
    <x v="1"/>
  </r>
  <r>
    <s v="NAHLA ELALAOUI"/>
    <x v="2"/>
    <s v="4.10.209.0"/>
    <x v="0"/>
  </r>
  <r>
    <s v="ZINEB ELGAZZAR"/>
    <x v="2"/>
    <s v="4.10.209.0"/>
    <x v="1"/>
  </r>
  <r>
    <s v="HASANE ALBAB"/>
    <x v="1"/>
    <m/>
    <x v="0"/>
  </r>
  <r>
    <s v="SLIMANE SMOUH"/>
    <x v="2"/>
    <s v="4.10.209.0"/>
    <x v="0"/>
  </r>
  <r>
    <s v="MANAR HALIMA"/>
    <x v="1"/>
    <m/>
    <x v="1"/>
  </r>
  <r>
    <s v="FEDALI KHOUY"/>
    <x v="2"/>
    <s v="4.10.209.0"/>
    <x v="1"/>
  </r>
  <r>
    <s v="ELGHARBI GHIZLANE"/>
    <x v="2"/>
    <s v="4.10.209.0"/>
    <x v="1"/>
  </r>
  <r>
    <s v="KHADIJA HADDANI"/>
    <x v="2"/>
    <s v="4.10.209.0"/>
    <x v="1"/>
  </r>
  <r>
    <s v="ESSO BAIHI"/>
    <x v="1"/>
    <m/>
    <x v="1"/>
  </r>
  <r>
    <s v="FADWA ELATRACH"/>
    <x v="1"/>
    <m/>
    <x v="1"/>
  </r>
  <r>
    <s v="OMAR BENABDELAKADER"/>
    <x v="2"/>
    <s v="4.8.204.0"/>
    <x v="1"/>
  </r>
  <r>
    <s v="OMAR BENABDELAKADER"/>
    <x v="3"/>
    <s v="4.8.204.0"/>
    <x v="1"/>
  </r>
  <r>
    <s v="RACHID RAMZI"/>
    <x v="2"/>
    <s v="4.10.209.0"/>
    <x v="1"/>
  </r>
  <r>
    <s v="REDOUAN YOUSSAF"/>
    <x v="1"/>
    <m/>
    <x v="0"/>
  </r>
  <r>
    <s v="SAFAE BIRROU"/>
    <x v="1"/>
    <m/>
    <x v="0"/>
  </r>
  <r>
    <s v="ABDELKARIM TOUZANI"/>
    <x v="1"/>
    <m/>
    <x v="0"/>
  </r>
  <r>
    <s v="GHARBAOUI"/>
    <x v="2"/>
    <s v="4.10.209.0"/>
    <x v="0"/>
  </r>
  <r>
    <s v="M.MAKAOUI"/>
    <x v="1"/>
    <m/>
    <x v="0"/>
  </r>
  <r>
    <s v="WAFIA NAFI"/>
    <x v="1"/>
    <m/>
    <x v="1"/>
  </r>
  <r>
    <s v="MANAL MARGHOUN"/>
    <x v="1"/>
    <m/>
    <x v="1"/>
  </r>
  <r>
    <s v="MOHAMED MAKAOUI"/>
    <x v="1"/>
    <m/>
    <x v="0"/>
  </r>
  <r>
    <s v="OMAR BENABDELAKADER"/>
    <x v="1"/>
    <m/>
    <x v="0"/>
  </r>
  <r>
    <s v="OMAR BENABDELAKADER"/>
    <x v="3"/>
    <m/>
    <x v="0"/>
  </r>
  <r>
    <s v="AMINE AHMARRAS"/>
    <x v="1"/>
    <m/>
    <x v="0"/>
  </r>
  <r>
    <s v="INES LEBADY"/>
    <x v="4"/>
    <s v="3.8.1"/>
    <x v="0"/>
  </r>
  <r>
    <s v="OUSSAMA MASMOUDI"/>
    <x v="1"/>
    <m/>
    <x v="1"/>
  </r>
  <r>
    <s v="ABDELKRIM EL YACOUBI"/>
    <x v="1"/>
    <m/>
    <x v="0"/>
  </r>
  <r>
    <s v="HASSAN KIBOU"/>
    <x v="1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OTMAN BENKESKSSOU"/>
    <x v="0"/>
    <x v="0"/>
    <s v="16.31"/>
    <s v="MACBOOK/5 MACBOOK PRO"/>
  </r>
  <r>
    <s v="OTMAN BENKESKSSOU"/>
    <x v="1"/>
    <x v="0"/>
    <s v="16.31"/>
    <s v="MACBOOK/5 MACBOOK PRO"/>
  </r>
  <r>
    <s v="OTMAN BENKESKSSOU"/>
    <x v="0"/>
    <x v="1"/>
    <s v="16.37"/>
    <s v="IMAC de admin"/>
  </r>
  <r>
    <s v="OTMAN BENKESKSSOU"/>
    <x v="2"/>
    <x v="1"/>
    <s v="20.009.20067"/>
    <s v="IMAC de admin"/>
  </r>
  <r>
    <s v="JIHANE ATMANI"/>
    <x v="1"/>
    <x v="1"/>
    <s v="2.1.0.1"/>
    <s v="ATMANI JIHANE"/>
  </r>
  <r>
    <s v="JIHANE ATMANI"/>
    <x v="2"/>
    <x v="1"/>
    <s v="22.001.20085"/>
    <s v="ATMANI JIHANE"/>
  </r>
  <r>
    <s v="JIHANE ATMANI"/>
    <x v="3"/>
    <x v="1"/>
    <s v="11.0.13222"/>
    <s v="ATMANI JIHANE"/>
  </r>
  <r>
    <s v="JIHANE ATMANI"/>
    <x v="4"/>
    <x v="1"/>
    <s v="9.20.00.0"/>
    <s v="ATMANI JIHANE"/>
  </r>
  <r>
    <s v="RAJRAJI MOUHAMED"/>
    <x v="1"/>
    <x v="0"/>
    <s v="2.1.0.1"/>
    <s v="RAJRAJI"/>
  </r>
  <r>
    <s v="RAJRAJI MOUHAMED"/>
    <x v="2"/>
    <x v="0"/>
    <s v="22.001.20085"/>
    <s v="RAJRAJI"/>
  </r>
  <r>
    <s v="RAJRAJI MOUHAMED"/>
    <x v="4"/>
    <x v="0"/>
    <s v="19.00"/>
    <s v="RAJRAJI"/>
  </r>
  <r>
    <s v="RAJRAJI MOUHAMED"/>
    <x v="0"/>
    <x v="0"/>
    <s v="16.0.14931.20132"/>
    <s v="RAJRAJI"/>
  </r>
  <r>
    <s v="ZINEB ELGAZZAR"/>
    <x v="4"/>
    <x v="1"/>
    <s v="21.020.00"/>
    <s v="ZINEB ELGAZZAR"/>
  </r>
  <r>
    <s v="ZINEB ELGAZZAR"/>
    <x v="2"/>
    <x v="1"/>
    <s v="9.4.0"/>
    <s v="ZINEB ELGAZZAR"/>
  </r>
  <r>
    <s v="ZINEB ELGAZZAR"/>
    <x v="0"/>
    <x v="1"/>
    <s v="16.0.14931.20132"/>
    <s v="ZINEB ELGAZZAR"/>
  </r>
  <r>
    <s v="ZINEB ELGAZZAR"/>
    <x v="1"/>
    <x v="1"/>
    <s v="2.1.0.1"/>
    <s v="ZINEB ELGAZZAR"/>
  </r>
  <r>
    <s v="MANAR HALIMA"/>
    <x v="4"/>
    <x v="0"/>
    <s v="19.00"/>
    <s v="MANAR HALIMA"/>
  </r>
  <r>
    <s v="MANAR HALIMA"/>
    <x v="0"/>
    <x v="0"/>
    <s v="16.0.14931.20132"/>
    <s v="MANAR HALIMA"/>
  </r>
  <r>
    <s v="MANAR HALIMA"/>
    <x v="2"/>
    <x v="0"/>
    <s v="22.001.20085"/>
    <s v="MANAR HALIMA"/>
  </r>
  <r>
    <s v="MANAR HALIMA"/>
    <x v="1"/>
    <x v="0"/>
    <s v="2.1.1.4"/>
    <s v="MANAR HALIMA"/>
  </r>
  <r>
    <s v="MANAR HALIMA"/>
    <x v="3"/>
    <x v="0"/>
    <s v="11.0.259193"/>
    <s v="MANAR HALIMA"/>
  </r>
  <r>
    <s v="LEFDALI KHOUY"/>
    <x v="4"/>
    <x v="0"/>
    <s v="19.00"/>
    <s v="LEFDALI KHOUY"/>
  </r>
  <r>
    <s v="LEFDALI KHOUY"/>
    <x v="2"/>
    <x v="0"/>
    <s v="22.001.20085"/>
    <s v="LEFDALI KHOUY"/>
  </r>
  <r>
    <s v="LEFDALI KHOUY"/>
    <x v="5"/>
    <x v="0"/>
    <s v="11.0.259193"/>
    <s v="LEFDALI KHOUY"/>
  </r>
  <r>
    <s v="LEFDALI KHOUY"/>
    <x v="1"/>
    <x v="0"/>
    <s v="2.1.1.4"/>
    <s v="LEFDALI KHOUY"/>
  </r>
  <r>
    <s v="ELGHARBI GHIZLANE"/>
    <x v="3"/>
    <x v="1"/>
    <s v="11.0.73909"/>
    <s v="ELGHARBI GHIZLANE"/>
  </r>
  <r>
    <s v="ELGHARBI GHIZLANE"/>
    <x v="0"/>
    <x v="1"/>
    <s v="16.0.14931.20132"/>
    <s v="ELGHARBI GHIZLANE"/>
  </r>
  <r>
    <s v="ELGHARBI GHIZLANE"/>
    <x v="6"/>
    <x v="1"/>
    <s v="32.0.0.465"/>
    <s v="ELGHARBI GHIZLANE"/>
  </r>
  <r>
    <s v="ELGHARBI GHIZLANE"/>
    <x v="2"/>
    <x v="1"/>
    <s v="22.001.20085"/>
    <s v="ELGHARBI GHIZLANE"/>
  </r>
  <r>
    <s v="ELGHARBI GHIZLANE"/>
    <x v="1"/>
    <x v="1"/>
    <s v="2.1.1.1"/>
    <s v="ELGHARBI GHIZLANE"/>
  </r>
  <r>
    <s v="KHADIJA HADDANI"/>
    <x v="6"/>
    <x v="1"/>
    <s v="15.0.0.239"/>
    <s v="KHADIJA HADDANI"/>
  </r>
  <r>
    <s v="KHADIJA HADDANI"/>
    <x v="2"/>
    <x v="1"/>
    <s v="22.001.20085"/>
    <s v="KHADIJA HADDANI"/>
  </r>
  <r>
    <s v="KHADIJA HADDANI"/>
    <x v="4"/>
    <x v="1"/>
    <s v="9.20.00.0"/>
    <s v="KHADIJA HADDANI"/>
  </r>
  <r>
    <s v="KHADIJA HADDANI"/>
    <x v="7"/>
    <x v="1"/>
    <s v="15.0.4569.1506"/>
    <s v="KHADIJA HADDANI"/>
  </r>
  <r>
    <s v="KHADIJA HADDANI"/>
    <x v="1"/>
    <x v="1"/>
    <s v="2.1.1.4"/>
    <s v="KHADIJA HADDANI"/>
  </r>
  <r>
    <s v="KHADIJA HADDANI"/>
    <x v="3"/>
    <x v="1"/>
    <s v="11.0.259193"/>
    <s v="KHADIJA HADDANI"/>
  </r>
  <r>
    <s v="RACHID RAMZI"/>
    <x v="2"/>
    <x v="1"/>
    <s v="11.0.23"/>
    <s v="RACHID RAMZI"/>
  </r>
  <r>
    <s v="RACHID RAMZI"/>
    <x v="7"/>
    <x v="1"/>
    <s v="15.0.4569.1506"/>
    <s v="RACHID RAMZI"/>
  </r>
  <r>
    <s v="RACHID RAMZI"/>
    <x v="1"/>
    <x v="1"/>
    <s v="2.1.0.1"/>
    <s v="RACHID RAMZI"/>
  </r>
  <r>
    <s v="RACHID RAMZI"/>
    <x v="3"/>
    <x v="1"/>
    <s v="11.0.259193"/>
    <s v="RACHID RAMZI"/>
  </r>
  <r>
    <s v="SAFAE BIRROU"/>
    <x v="4"/>
    <x v="0"/>
    <s v="19.00"/>
    <s v="SAFAE BIRROU"/>
  </r>
  <r>
    <s v="SAFAE BIRROU"/>
    <x v="2"/>
    <x v="0"/>
    <s v="22.001.20085"/>
    <s v="SAFAE BIRROU"/>
  </r>
  <r>
    <s v="SAFAE BIRROU"/>
    <x v="6"/>
    <x v="0"/>
    <s v="32.0.0.465"/>
    <s v="SAFAE BIRROU"/>
  </r>
  <r>
    <s v="SAFAE BIRROU"/>
    <x v="1"/>
    <x v="0"/>
    <s v="2.1.1.1"/>
    <s v="SAFAE BIRROU"/>
  </r>
  <r>
    <s v="SAFAE BIRROU"/>
    <x v="3"/>
    <x v="0"/>
    <s v="11.0.73909"/>
    <s v="SAFAE BIRROU"/>
  </r>
  <r>
    <s v="ABDELKARIM TOUZANI"/>
    <x v="4"/>
    <x v="0"/>
    <s v="19.00"/>
    <s v="ABDELKARIM TOUZANI"/>
  </r>
  <r>
    <s v="ABDELKARIM TOUZANI"/>
    <x v="2"/>
    <x v="0"/>
    <s v="22.001.20085"/>
    <s v="ABDELKARIM TOUZANI"/>
  </r>
  <r>
    <s v="ABDELKARIM TOUZANI"/>
    <x v="0"/>
    <x v="0"/>
    <s v="16.0.14931.20132"/>
    <s v="ABDELKARIM TOUZANI"/>
  </r>
  <r>
    <s v="ABDELKARIM TOUZANI"/>
    <x v="1"/>
    <x v="0"/>
    <s v="2.1.1.1"/>
    <s v="ABDELKARIM TOUZANI"/>
  </r>
  <r>
    <s v="ABDELKARIM TOUZANI"/>
    <x v="3"/>
    <x v="0"/>
    <s v="11.0.73909"/>
    <s v="ABDELKARIM TOUZANI"/>
  </r>
  <r>
    <s v="MOHAMED MAKAOUI"/>
    <x v="3"/>
    <x v="0"/>
    <s v="11.0.259193"/>
    <s v="MOHAMED MAKAOUI"/>
  </r>
  <r>
    <s v="MOHAMED MAKAOUI"/>
    <x v="1"/>
    <x v="0"/>
    <s v="2.1.0.1"/>
    <s v="MOHAMED MAKAOUI"/>
  </r>
  <r>
    <s v="MOHAMED MAKAOUI"/>
    <x v="8"/>
    <x v="0"/>
    <s v="16.0.14931.20132"/>
    <s v="MOHAMED MAKAOUI"/>
  </r>
  <r>
    <s v="MOHAMED MAKAOUI"/>
    <x v="4"/>
    <x v="0"/>
    <s v="21.02"/>
    <s v="MOHAMED MAKAOUI"/>
  </r>
  <r>
    <s v="MOHAMED MAKAOUI"/>
    <x v="2"/>
    <x v="0"/>
    <s v="22.001.20085"/>
    <s v="MOHAMED MAKAOUI"/>
  </r>
  <r>
    <s v="AMINE AHMARRAS"/>
    <x v="9"/>
    <x v="0"/>
    <s v="14.0.4763.1000"/>
    <s v="USER"/>
  </r>
  <r>
    <s v="WAFAE ELFIJI"/>
    <x v="0"/>
    <x v="0"/>
    <s v="16.0.14931.20132"/>
    <s v="WAFAE ELFIJI"/>
  </r>
  <r>
    <s v="WAFAE ELFIJI"/>
    <x v="3"/>
    <x v="0"/>
    <s v="11.0.259193"/>
    <s v="WAFAE ELFIJI"/>
  </r>
  <r>
    <s v="WAFAE ELFIJI"/>
    <x v="4"/>
    <x v="0"/>
    <s v="19.00"/>
    <s v="WAFAE ELFIJI"/>
  </r>
  <r>
    <s v="OUSSAMA MASMOUDI"/>
    <x v="4"/>
    <x v="1"/>
    <s v="19.00"/>
    <s v="OUSSAMA MASMOUDI"/>
  </r>
  <r>
    <s v="OUSSAMA MASMOUDI"/>
    <x v="3"/>
    <x v="1"/>
    <s v="11.0.259193"/>
    <s v="OUSSAMA MASMOUDI"/>
  </r>
  <r>
    <s v="OUSSAMA MASMOUDI"/>
    <x v="0"/>
    <x v="1"/>
    <s v="15.0.4569.1506"/>
    <s v="OUSSAMA MASMOUDI"/>
  </r>
  <r>
    <s v="OUSSAMA MASMOUDI"/>
    <x v="1"/>
    <x v="1"/>
    <s v="2.1.1.4"/>
    <s v="OUSSAMA MASMOUDI"/>
  </r>
  <r>
    <s v="HAKIMA EL HADRARI"/>
    <x v="3"/>
    <x v="1"/>
    <s v="11.0.73909"/>
    <s v="HAKIMA EL HADRARI"/>
  </r>
  <r>
    <s v="HAKIMA EL HADRARI"/>
    <x v="1"/>
    <x v="1"/>
    <s v="2.4.1.1"/>
    <s v="HAKIMA EL HADRARI"/>
  </r>
  <r>
    <s v="HAKIMA EL HADRARI"/>
    <x v="0"/>
    <x v="1"/>
    <s v="16.0.14931.20132"/>
    <s v="HAKIMA EL HADRARI"/>
  </r>
  <r>
    <s v="IMANE BOULBOUL"/>
    <x v="4"/>
    <x v="0"/>
    <s v="22.02"/>
    <s v="IMANE BOULBOUL"/>
  </r>
  <r>
    <s v="IMANE BOULBOUL"/>
    <x v="2"/>
    <x v="0"/>
    <s v="22.001.20085"/>
    <s v="IMANE BOULBOUL"/>
  </r>
  <r>
    <s v="IMANE BOULBOUL"/>
    <x v="0"/>
    <x v="0"/>
    <s v="16.0.14931.20132"/>
    <s v="IMANE BOULBOUL"/>
  </r>
  <r>
    <s v="IMANE BOULBOUL"/>
    <x v="1"/>
    <x v="0"/>
    <s v="2.100.1"/>
    <s v="IMANE BOULBOUL"/>
  </r>
  <r>
    <s v="IMANE BOULBOUL"/>
    <x v="3"/>
    <x v="0"/>
    <s v="11.0.259193"/>
    <s v="IMANE BOULBOUL"/>
  </r>
  <r>
    <s v="ABDALLAH RHARBAOUI"/>
    <x v="4"/>
    <x v="0"/>
    <s v="19.00"/>
    <s v="ABDALLAH RHARBAOUI"/>
  </r>
  <r>
    <s v="ABDALLAH RHARBAOUI"/>
    <x v="2"/>
    <x v="0"/>
    <s v="22.001.20085"/>
    <s v="ABDALLAH RHARBAOUI"/>
  </r>
  <r>
    <s v="ABDALLAH RHARBAOUI"/>
    <x v="0"/>
    <x v="0"/>
    <s v="16.0.14931.20132"/>
    <s v="ABDALLAH RHARBAOUI"/>
  </r>
  <r>
    <s v="ABDALLAH RHARBAOUI"/>
    <x v="1"/>
    <x v="0"/>
    <s v="2.1.1.4"/>
    <s v="ABDALLAH RHARBAOUI"/>
  </r>
  <r>
    <s v="HLIMA ESSOBAIHI"/>
    <x v="4"/>
    <x v="0"/>
    <s v="19.00"/>
    <s v="HLIMA ESSOBAIHI"/>
  </r>
  <r>
    <s v="HLIMA ESSOBAIHI"/>
    <x v="2"/>
    <x v="0"/>
    <s v="22.001.20085"/>
    <s v="HLIMA ESSOBAIHI"/>
  </r>
  <r>
    <s v="HLIMA ESSOBAIHI"/>
    <x v="0"/>
    <x v="0"/>
    <s v="16.0.14931.20132"/>
    <s v="HLIMA ESSOBAIHI"/>
  </r>
  <r>
    <s v="HLIMA ESSOBAIHI"/>
    <x v="1"/>
    <x v="0"/>
    <s v="2.1.1.1"/>
    <s v="HLIMA ESSOBAIHI"/>
  </r>
  <r>
    <s v="HLIMA ESSOBAIHI"/>
    <x v="3"/>
    <x v="0"/>
    <s v="11.0.73909"/>
    <s v="HLIMA ESSOBAIHI"/>
  </r>
  <r>
    <s v="MANAL MARGOUN"/>
    <x v="4"/>
    <x v="1"/>
    <s v="19.00"/>
    <s v="MANAL MARGOUN"/>
  </r>
  <r>
    <s v="MANAL MARGOUN"/>
    <x v="2"/>
    <x v="1"/>
    <s v="22.001.20085"/>
    <s v="MANAL MARGOUN"/>
  </r>
  <r>
    <s v="MANAL MARGOUN"/>
    <x v="6"/>
    <x v="1"/>
    <s v="32.0.0.465"/>
    <s v="MANAL MARGOUN"/>
  </r>
  <r>
    <s v="MANAL MARGOUN"/>
    <x v="0"/>
    <x v="1"/>
    <s v="16.0.14931.20132"/>
    <s v="MANAL MARGOUN"/>
  </r>
  <r>
    <s v="MANAL MARGOUN"/>
    <x v="1"/>
    <x v="1"/>
    <s v="2.1.1.1"/>
    <s v="MANAL MARGOUN"/>
  </r>
  <r>
    <s v="MANAL MARGOUN"/>
    <x v="3"/>
    <x v="1"/>
    <s v="11.0.73909"/>
    <s v="MANAL MARGOUN"/>
  </r>
  <r>
    <s v="RACHID RAMZI"/>
    <x v="4"/>
    <x v="0"/>
    <s v="19.00"/>
    <s v="RACHID RAMZI"/>
  </r>
  <r>
    <s v="RACHID RAMZI"/>
    <x v="2"/>
    <x v="0"/>
    <s v="22.001.20085"/>
    <s v="RACHID RAMZI"/>
  </r>
  <r>
    <s v="RACHID RAMZI"/>
    <x v="0"/>
    <x v="0"/>
    <s v="16.0.15028.20160"/>
    <s v="RACHID RAMZI"/>
  </r>
  <r>
    <s v="RACHID RAMZI"/>
    <x v="1"/>
    <x v="0"/>
    <s v="2.1.1.1"/>
    <s v="RACHID RAMZI"/>
  </r>
  <r>
    <s v="RACHID RAMZI"/>
    <x v="3"/>
    <x v="0"/>
    <s v="11.0.73909"/>
    <s v="RACHID RAMZI"/>
  </r>
  <r>
    <s v="SLIMANE SMOUH"/>
    <x v="4"/>
    <x v="0"/>
    <s v="19.00"/>
    <s v="SLIMANE SMOUH"/>
  </r>
  <r>
    <s v="SLIMANE SMOUH"/>
    <x v="2"/>
    <x v="0"/>
    <s v="22.001.20085"/>
    <s v="SLIMANE SMOUH"/>
  </r>
  <r>
    <s v="SLIMANE SMOUH"/>
    <x v="0"/>
    <x v="0"/>
    <s v="16.0.15028.20160"/>
    <s v="SLIMANE SMOU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WAFAE ELFJIJI"/>
    <x v="0"/>
    <s v="13.0.0.11.247"/>
    <x v="0"/>
  </r>
  <r>
    <s v="JIHANE ATMANI"/>
    <x v="1"/>
    <m/>
    <x v="1"/>
  </r>
  <r>
    <s v="RAJRAJI MOUHAMED"/>
    <x v="1"/>
    <m/>
    <x v="0"/>
  </r>
  <r>
    <s v="ZINEB ELGAZZAR"/>
    <x v="0"/>
    <s v="13.0.0.11.247"/>
    <x v="1"/>
  </r>
  <r>
    <s v="SLIMANE SMOUH"/>
    <x v="1"/>
    <m/>
    <x v="0"/>
  </r>
  <r>
    <s v="MANAR HALIMA"/>
    <x v="0"/>
    <s v="13.0.0.11.247"/>
    <x v="0"/>
  </r>
  <r>
    <s v="FEDALI KHOUY"/>
    <x v="0"/>
    <s v="13.0.0.11.247"/>
    <x v="0"/>
  </r>
  <r>
    <s v="ELGHARBI GHIZLANE"/>
    <x v="1"/>
    <m/>
    <x v="1"/>
  </r>
  <r>
    <s v="KHADIJA HADDANI"/>
    <x v="2"/>
    <s v="4.10.209.0"/>
    <x v="1"/>
  </r>
  <r>
    <s v="RACHID RAMZI"/>
    <x v="1"/>
    <m/>
    <x v="1"/>
  </r>
  <r>
    <s v="SAFAE BIRROU"/>
    <x v="3"/>
    <m/>
    <x v="0"/>
  </r>
  <r>
    <s v="ABDELKARIM TOUZANI"/>
    <x v="0"/>
    <s v="21.3.10.391"/>
    <x v="0"/>
  </r>
  <r>
    <s v="MOHAMED MAKAOUI"/>
    <x v="0"/>
    <s v="13.0.0.11.247"/>
    <x v="0"/>
  </r>
  <r>
    <s v="AMINE AHMARRAS"/>
    <x v="3"/>
    <m/>
    <x v="0"/>
  </r>
  <r>
    <s v="OUSSAMA MASMOUDI"/>
    <x v="0"/>
    <s v="13.0.0.11.247"/>
    <x v="0"/>
  </r>
  <r>
    <s v="HAKIMA EL HADRARI"/>
    <x v="1"/>
    <m/>
    <x v="1"/>
  </r>
  <r>
    <s v="IMANE BOULBOUL"/>
    <x v="0"/>
    <s v="13.0.0.11.247"/>
    <x v="0"/>
  </r>
  <r>
    <s v="ABDALLAH RHARBAOUI"/>
    <x v="0"/>
    <s v="13.0.0.11.247"/>
    <x v="0"/>
  </r>
  <r>
    <s v="HLIMA ESSOBAIHI"/>
    <x v="0"/>
    <s v="21.3.10.391"/>
    <x v="0"/>
  </r>
  <r>
    <s v="MANAL MARGOUN"/>
    <x v="1"/>
    <m/>
    <x v="1"/>
  </r>
  <r>
    <s v="RACHID RAMZI"/>
    <x v="1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FEDALI KHOUY"/>
    <x v="0"/>
    <s v="OK"/>
    <s v="OK"/>
    <x v="0"/>
  </r>
  <r>
    <s v="ELGHARBI GHIZLANE"/>
    <x v="1"/>
    <s v="OK"/>
    <s v="OK"/>
    <x v="0"/>
  </r>
  <r>
    <s v="KHADIJA HADDANI"/>
    <x v="1"/>
    <s v="OK"/>
    <s v="OK"/>
    <x v="0"/>
  </r>
  <r>
    <s v="ZINEB ELGAZZAR"/>
    <x v="1"/>
    <s v="OK"/>
    <s v="OK"/>
    <x v="0"/>
  </r>
  <r>
    <s v="WAFAE ELFJIJI"/>
    <x v="0"/>
    <s v="OK"/>
    <s v="OK"/>
    <x v="0"/>
  </r>
  <r>
    <s v="JIHANE ATMANI"/>
    <x v="1"/>
    <s v="OK"/>
    <s v="OK"/>
    <x v="0"/>
  </r>
  <r>
    <s v="RACHID RAMZI"/>
    <x v="1"/>
    <s v="OK"/>
    <s v="OK"/>
    <x v="0"/>
  </r>
  <r>
    <s v="SAFAE BIRROU"/>
    <x v="0"/>
    <s v="OK"/>
    <s v="OK"/>
    <x v="0"/>
  </r>
  <r>
    <s v="ABDELKARIM TOUZANI"/>
    <x v="0"/>
    <s v="OK"/>
    <s v="OK"/>
    <x v="0"/>
  </r>
  <r>
    <s v="OMAR BENABDELAKADER"/>
    <x v="0"/>
    <s v="OK"/>
    <s v="OK"/>
    <x v="0"/>
  </r>
  <r>
    <s v="IMANE BOULBOUL"/>
    <x v="0"/>
    <s v="OK"/>
    <s v="OK"/>
    <x v="0"/>
  </r>
  <r>
    <s v="HALIMA MANAR"/>
    <x v="0"/>
    <s v="OK"/>
    <s v="OK"/>
    <x v="0"/>
  </r>
  <r>
    <s v="SAMIRA ELKHALIFI"/>
    <x v="0"/>
    <s v="OK"/>
    <s v="OK"/>
    <x v="0"/>
  </r>
  <r>
    <s v="ABDALLAH RHARBAOUI"/>
    <x v="0"/>
    <s v="OK"/>
    <s v="OK"/>
    <x v="0"/>
  </r>
  <r>
    <s v="SLIMAN SMOUH"/>
    <x v="0"/>
    <s v="OK"/>
    <s v="OK"/>
    <x v="0"/>
  </r>
  <r>
    <s v="RACHID RAMZI"/>
    <x v="0"/>
    <s v="OK"/>
    <s v="OK"/>
    <x v="0"/>
  </r>
  <r>
    <s v="HAKIMA EL HADRARI"/>
    <x v="1"/>
    <s v="OK"/>
    <s v="OK"/>
    <x v="0"/>
  </r>
  <r>
    <s v="HALIMA ESSOBAIHI"/>
    <x v="0"/>
    <s v="OK"/>
    <s v="OK"/>
    <x v="0"/>
  </r>
  <r>
    <s v="OMAR BENABDELAKADER"/>
    <x v="1"/>
    <s v="OK"/>
    <s v="OK"/>
    <x v="0"/>
  </r>
  <r>
    <s v="HASSAN ALBAB"/>
    <x v="0"/>
    <s v="OK"/>
    <s v="OK"/>
    <x v="0"/>
  </r>
  <r>
    <s v="MOHAMED RAJRAJI"/>
    <x v="0"/>
    <s v="OK"/>
    <s v="OK"/>
    <x v="0"/>
  </r>
  <r>
    <s v="MANAL MARGOUM"/>
    <x v="1"/>
    <s v="OK"/>
    <s v="OK"/>
    <x v="0"/>
  </r>
  <r>
    <s v="OUSSAMA HASMOUDI"/>
    <x v="0"/>
    <s v="OK"/>
    <s v="OK"/>
    <x v="0"/>
  </r>
  <r>
    <s v="AMINE AHMANAS"/>
    <x v="0"/>
    <s v="OK"/>
    <s v="OK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HALIMA SOUBYHI"/>
    <x v="0"/>
    <s v="EPSON GT-2500"/>
    <m/>
    <s v="J78Z009584"/>
    <x v="0"/>
  </r>
  <r>
    <s v="KHADIJA HADADANI"/>
    <x v="1"/>
    <s v="XEROX 3225 WORKCENTRE"/>
    <m/>
    <n v="3365138140"/>
    <x v="0"/>
  </r>
  <r>
    <s v="KHADIJA HADADANI"/>
    <x v="0"/>
    <s v="KODAK SCANMATE I1150"/>
    <m/>
    <n v="53905128"/>
    <x v="0"/>
  </r>
  <r>
    <m/>
    <x v="2"/>
    <s v="TOSHIBA STUDIO 3505AC"/>
    <s v="OPENSPACE G"/>
    <s v="CFKG64879"/>
    <x v="0"/>
  </r>
  <r>
    <m/>
    <x v="2"/>
    <s v="TOSHIBA STUDIO 3505AC"/>
    <s v="OPENSPACE D"/>
    <s v="CFKG60833"/>
    <x v="0"/>
  </r>
  <r>
    <m/>
    <x v="3"/>
    <s v="XEROKWC7535"/>
    <s v="SALLE M"/>
    <n v="3713791698"/>
    <x v="0"/>
  </r>
  <r>
    <m/>
    <x v="2"/>
    <s v="TOSHIBA STUDIO 3555CSE"/>
    <s v="SALLE M"/>
    <s v="C7JC27759"/>
    <x v="0"/>
  </r>
  <r>
    <s v="KHADIJA HADADANI"/>
    <x v="4"/>
    <s v="ZEBRA GK420T"/>
    <s v="BO"/>
    <s v="29J165000927"/>
    <x v="0"/>
  </r>
  <r>
    <m/>
    <x v="2"/>
    <s v="TOSHIBA STUDIO 3555CSE"/>
    <m/>
    <s v="C7JC27738"/>
    <x v="0"/>
  </r>
  <r>
    <m/>
    <x v="2"/>
    <s v="XEROX VERSALINK B7030"/>
    <m/>
    <n v="3399731657"/>
    <x v="0"/>
  </r>
  <r>
    <m/>
    <x v="2"/>
    <s v="TOSHIBA STUDIO 4515AC"/>
    <m/>
    <s v="CNIJ34222"/>
    <x v="0"/>
  </r>
  <r>
    <m/>
    <x v="2"/>
    <s v="TOSHIBA STUDIO 4515AC"/>
    <m/>
    <s v="CNKH5101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Agent de sécurité AMEE"/>
    <x v="0"/>
    <x v="0"/>
    <x v="0"/>
    <s v="Microsoft Windows 10 Pro"/>
    <m/>
    <s v="8 GO"/>
    <m/>
    <s v="core I5 11gen"/>
    <s v="MANXCV00Z923405"/>
    <m/>
    <s v="OK"/>
    <s v="DELL"/>
    <m/>
    <m/>
    <m/>
    <m/>
    <m/>
  </r>
  <r>
    <s v="Agent de sécurité AMEE"/>
    <x v="0"/>
    <x v="0"/>
    <x v="0"/>
    <s v="Microsoft Windows 10 Pro"/>
    <s v="256 GO"/>
    <s v="8 GO"/>
    <s v="198 GO"/>
    <s v="core I5 11gen"/>
    <s v="MANXCV06S93941B"/>
    <m/>
    <s v="OK"/>
    <s v="DELL P2424HE"/>
    <s v="231JD94"/>
    <s v="oui"/>
    <s v="oui"/>
    <s v="oui"/>
    <s v="oui"/>
  </r>
  <r>
    <s v="khalid agouzal"/>
    <x v="0"/>
    <x v="1"/>
    <x v="1"/>
    <s v="Win10 22H2"/>
    <s v="250 GO "/>
    <s v="8 GO"/>
    <s v="66 GO"/>
    <s v="Core i5 8gen"/>
    <s v="80CLNV2"/>
    <s v="DELL Optiplex 3010"/>
    <s v="OK"/>
    <s v="DELL P2425HE"/>
    <s v="1HWHD94"/>
    <s v="ok"/>
    <s v="ok"/>
    <s v="ok"/>
    <s v="ok"/>
  </r>
  <r>
    <s v="RACHID RAMZI"/>
    <x v="0"/>
    <x v="1"/>
    <x v="1"/>
    <s v="Win 10 64 bits"/>
    <s v="250 GO "/>
    <s v="8 GO"/>
    <s v="80 GO"/>
    <s v="Core i5 8gen"/>
    <s v="CTCLNV2"/>
    <s v="DELL Optiplex 9020"/>
    <s v="OK"/>
    <s v="DELL P2425HE"/>
    <m/>
    <s v="ok"/>
    <s v="no"/>
    <s v="ok"/>
    <s v="ok"/>
  </r>
  <r>
    <s v="Halima MANAR"/>
    <x v="0"/>
    <x v="2"/>
    <x v="2"/>
    <s v="Microsoft Windows 11 Pro"/>
    <s v="512 GO"/>
    <s v="16 GO"/>
    <s v="274 GO"/>
    <s v="Core i7 13gen"/>
    <s v="PF4J2JXB"/>
    <m/>
    <s v="OK"/>
    <s v="DELL P2424HE"/>
    <s v="F280ZT2"/>
    <s v="oui"/>
    <s v="oui"/>
    <s v="oui"/>
    <s v="oui"/>
  </r>
  <r>
    <s v="Abdallah RHARBAOUI"/>
    <x v="0"/>
    <x v="2"/>
    <x v="3"/>
    <s v="Microsoft Windows 11 Pro"/>
    <s v="512GO"/>
    <s v="16 GO"/>
    <s v="318GO"/>
    <s v="Core Ultra 7 255U"/>
    <s v="PF5YMPFS"/>
    <m/>
    <s v="OK"/>
    <s v="DELL P2425HE"/>
    <s v="C890ZT2"/>
    <s v="oui"/>
    <s v="oui"/>
    <s v="oui"/>
    <s v="oui"/>
  </r>
  <r>
    <s v="AOULAD BEN KESKSOU"/>
    <x v="1"/>
    <x v="3"/>
    <x v="4"/>
    <s v="MacOS"/>
    <s v="1 TB"/>
    <s v="8 GO"/>
    <s v="866 GO"/>
    <s v="core i5"/>
    <s v="C02QKCW3GG7J"/>
    <m/>
    <s v="OK"/>
    <m/>
    <m/>
    <s v="oui"/>
    <s v="oui"/>
    <s v="oui"/>
    <s v="oui"/>
  </r>
  <r>
    <s v="Aziz EJMILA"/>
    <x v="0"/>
    <x v="2"/>
    <x v="5"/>
    <s v="Microsoft Windows 11 Pro"/>
    <s v="512 GO"/>
    <s v="16 GO"/>
    <s v="340 GO"/>
    <s v="Core i7 13gen"/>
    <s v="PF4J28XF"/>
    <m/>
    <s v="OK"/>
    <s v="DELL P2419H"/>
    <s v="CN-0D8VXF-QDC00-9B0-04WB-A14"/>
    <s v="oui"/>
    <s v="oui"/>
    <s v="oui"/>
    <s v="oui"/>
  </r>
  <r>
    <s v="Amine AHMARRAS"/>
    <x v="0"/>
    <x v="1"/>
    <x v="6"/>
    <s v="Microsoft Windows 10 Pro"/>
    <m/>
    <s v="16 GO"/>
    <m/>
    <m/>
    <s v="GW4DKN3"/>
    <m/>
    <s v="OK"/>
    <s v="DELL P2425HE"/>
    <s v="CN-D8UXF-QDC00-988-04AB-A14"/>
    <m/>
    <m/>
    <m/>
    <m/>
  </r>
  <r>
    <s v="Bouchra EL HILALI"/>
    <x v="0"/>
    <x v="1"/>
    <x v="7"/>
    <s v="Microsoft Windows 11 Pro"/>
    <s v="500 Go"/>
    <s v="32 GO"/>
    <s v="344 Go"/>
    <s v="core I5 12gen"/>
    <s v="2XPG5X3"/>
    <m/>
    <s v="OK"/>
    <s v="DELL P2419H"/>
    <s v="CN-029C29-74261-513-27TB"/>
    <s v="oui"/>
    <s v="oui"/>
    <s v="oui"/>
    <s v="oui"/>
  </r>
  <r>
    <s v="zakaria abiri"/>
    <x v="0"/>
    <x v="2"/>
    <x v="8"/>
    <s v="Win10 22H2"/>
    <s v="1 TB"/>
    <s v="16 GO"/>
    <s v="856 GO"/>
    <s v="Core i7 7gen"/>
    <s v="PF0WT3ZR"/>
    <s v="DELL Optiplex 9020"/>
    <s v="OK"/>
    <s v="DELL P2425HE"/>
    <s v="6BRHD94"/>
    <s v="ok"/>
    <s v="ok"/>
    <s v="ok"/>
    <s v="ok"/>
  </r>
  <r>
    <s v="halima essobaihi"/>
    <x v="0"/>
    <x v="2"/>
    <x v="8"/>
    <s v="Win 10 64 bits"/>
    <s v="1 TB"/>
    <s v="16 GO"/>
    <s v="747 Go"/>
    <s v="Core i7 10gen"/>
    <s v="PF2GD9WG"/>
    <s v="LENOVO"/>
    <s v="OK"/>
    <s v="DELL P2419H"/>
    <s v="533JSC3"/>
    <s v="ok "/>
    <s v="ok"/>
    <s v="ok"/>
    <s v="ok"/>
  </r>
  <r>
    <s v="Ayoub ANTARI"/>
    <x v="0"/>
    <x v="4"/>
    <x v="9"/>
    <s v="Microsoft Windows 10 Pro"/>
    <m/>
    <s v="8 GO"/>
    <m/>
    <m/>
    <s v="DS1T005295"/>
    <m/>
    <s v="OK"/>
    <s v="DELL P2425HE"/>
    <s v="5N70ZT2"/>
    <m/>
    <m/>
    <m/>
    <m/>
  </r>
  <r>
    <s v="Youssef EL HAMID"/>
    <x v="0"/>
    <x v="4"/>
    <x v="9"/>
    <s v="Microsoft Windows 10 Pro"/>
    <m/>
    <s v="8 GO"/>
    <m/>
    <m/>
    <s v="DS1T005300"/>
    <m/>
    <s v="OK"/>
    <s v="DELL P2419H"/>
    <s v="CN-0K6G4N-TV200-57G-1C1L-A01"/>
    <m/>
    <m/>
    <m/>
    <m/>
  </r>
  <r>
    <s v="AOULAD BEN KESKSOU"/>
    <x v="0"/>
    <x v="3"/>
    <x v="10"/>
    <s v="MacOS"/>
    <s v="500 Go"/>
    <s v="16 GO"/>
    <s v="321 GO"/>
    <s v="core i5"/>
    <s v="C02WF1BEHTD7"/>
    <m/>
    <s v="OK"/>
    <m/>
    <m/>
    <s v="oui"/>
    <m/>
    <m/>
    <m/>
  </r>
  <r>
    <s v="Fadma BOUZAIT"/>
    <x v="0"/>
    <x v="3"/>
    <x v="11"/>
    <s v="MacOS"/>
    <m/>
    <s v="8 GO"/>
    <m/>
    <m/>
    <s v="CO2VDL48HV24"/>
    <m/>
    <s v="OK"/>
    <m/>
    <m/>
    <s v="oui"/>
    <m/>
    <m/>
    <m/>
  </r>
  <r>
    <s v="Souad BOUNFOUR"/>
    <x v="0"/>
    <x v="3"/>
    <x v="11"/>
    <s v="MacOS"/>
    <m/>
    <s v="16 GO"/>
    <m/>
    <m/>
    <s v="TR6DM2OF6P"/>
    <m/>
    <s v="OK"/>
    <s v="DELL P2419H"/>
    <s v="CN-0KNYZJ-QDC00-92A-31C5-103"/>
    <s v="oui"/>
    <m/>
    <m/>
    <m/>
  </r>
  <r>
    <s v="Hafsa HOUSNI"/>
    <x v="0"/>
    <x v="3"/>
    <x v="12"/>
    <s v="Microsoft Windows 10 Pro"/>
    <m/>
    <s v="16 GO"/>
    <m/>
    <m/>
    <s v="C02SQ74FG8WN"/>
    <m/>
    <s v="OK"/>
    <s v="DELL P2425HE"/>
    <s v="CN-OD8VXF-QDC00-988-04NB-A14"/>
    <s v="oui"/>
    <m/>
    <m/>
    <m/>
  </r>
  <r>
    <s v="khadija HADDANI"/>
    <x v="1"/>
    <x v="1"/>
    <x v="13"/>
    <s v="Microsoft Windows 10 Pro"/>
    <m/>
    <s v="8 GO"/>
    <m/>
    <m/>
    <s v="212VTC3"/>
    <m/>
    <s v="OK"/>
    <s v="DELL P2425HE"/>
    <s v="CN-D8VXF-QDC00-9B8"/>
    <m/>
    <m/>
    <m/>
    <m/>
  </r>
  <r>
    <s v="Nada BELKEBIR"/>
    <x v="0"/>
    <x v="2"/>
    <x v="14"/>
    <s v="Microsoft Windows 11 Pro"/>
    <s v="512GO"/>
    <s v="16 GO"/>
    <s v="347 GO"/>
    <s v="Core Ultra 7 255U"/>
    <s v="PF5YMQQZ"/>
    <m/>
    <s v="OK"/>
    <m/>
    <m/>
    <s v="oui"/>
    <s v="oui"/>
    <s v="oui"/>
    <s v="oui"/>
  </r>
  <r>
    <s v="Youssef BENKADDOUR"/>
    <x v="0"/>
    <x v="2"/>
    <x v="14"/>
    <s v="Microsoft Windows 11 Pro"/>
    <s v="512 GO"/>
    <s v="16 GO"/>
    <s v="359 GO"/>
    <s v="Core Ultra 7 255U"/>
    <m/>
    <m/>
    <m/>
    <m/>
    <m/>
    <s v="oui"/>
    <s v="oui"/>
    <s v="oui"/>
    <s v="oui"/>
  </r>
  <r>
    <s v="Hakima EL MADRARI"/>
    <x v="0"/>
    <x v="1"/>
    <x v="6"/>
    <s v="Microsoft Windows 11 Pro"/>
    <s v="1 TB"/>
    <s v="16 GO"/>
    <s v="387 Go"/>
    <s v="core I5 11gen"/>
    <s v="44XBKN3"/>
    <m/>
    <s v="OK"/>
    <s v="DELL P2425HE"/>
    <s v="B8DT2N2"/>
    <s v="oui"/>
    <s v="oui"/>
    <s v="oui"/>
    <s v="oui"/>
  </r>
  <r>
    <s v="Amal hammoussah"/>
    <x v="0"/>
    <x v="1"/>
    <x v="15"/>
    <s v="Microsoft Windows 11 Pro"/>
    <s v="250 GO "/>
    <s v="16 GO"/>
    <s v="70 GO"/>
    <s v="Core i5 8gen"/>
    <s v="GDS3NV2"/>
    <s v="MAC BOOK PRO"/>
    <s v="OK"/>
    <s v=" DELL P2425HE"/>
    <s v="4BRHD94"/>
    <s v="ok"/>
    <s v="ok"/>
    <s v="ok"/>
    <s v="ok"/>
  </r>
  <r>
    <s v="Ismail boumajdi"/>
    <x v="0"/>
    <x v="1"/>
    <x v="16"/>
    <s v="Microsoft Windows 11 Pro"/>
    <s v="250 GO "/>
    <s v="16 GO"/>
    <s v="83 GO"/>
    <s v="Core i5 10 gen"/>
    <s v="10S8R73"/>
    <s v="DELL"/>
    <s v="OK"/>
    <s v="DELL P2214H5"/>
    <s v="CN-029C29-74261-513-27KB"/>
    <s v="ok"/>
    <s v="no"/>
    <s v="ok"/>
    <s v="ok"/>
  </r>
  <r>
    <s v="Ghizlane EL GHARBI"/>
    <x v="1"/>
    <x v="5"/>
    <x v="17"/>
    <s v="Microsoft Windows 11 Pro"/>
    <m/>
    <s v="8 GO"/>
    <m/>
    <m/>
    <s v="8CC4081R62"/>
    <m/>
    <s v="OK"/>
    <m/>
    <m/>
    <m/>
    <m/>
    <m/>
    <m/>
  </r>
  <r>
    <s v="Fadma BOUZAIT"/>
    <x v="1"/>
    <x v="5"/>
    <x v="17"/>
    <s v="Microsoft Windows 11 Pro"/>
    <m/>
    <s v="8 GO"/>
    <m/>
    <m/>
    <s v="8CC4081R6J"/>
    <m/>
    <s v="OK"/>
    <m/>
    <m/>
    <m/>
    <m/>
    <m/>
    <m/>
  </r>
  <r>
    <s v="Soukaina DEKAYIR"/>
    <x v="1"/>
    <x v="5"/>
    <x v="17"/>
    <s v="Microsoft Windows 11 Pro"/>
    <m/>
    <s v="8 GO"/>
    <m/>
    <m/>
    <s v="8CC4081R79"/>
    <m/>
    <s v="OK"/>
    <m/>
    <m/>
    <m/>
    <m/>
    <m/>
    <m/>
  </r>
  <r>
    <s v="Fatima ANEJJAR"/>
    <x v="0"/>
    <x v="1"/>
    <x v="6"/>
    <s v="Microsoft Windows 11 Pro"/>
    <m/>
    <s v="16 GO"/>
    <m/>
    <m/>
    <s v="16BBKN3"/>
    <m/>
    <s v="OK"/>
    <m/>
    <s v="2B70ZT2"/>
    <m/>
    <m/>
    <m/>
    <m/>
  </r>
  <r>
    <s v="Sara BOUSLAMTI"/>
    <x v="0"/>
    <x v="1"/>
    <x v="6"/>
    <s v="Microsoft Windows 11 Pro"/>
    <m/>
    <s v="16 GO"/>
    <m/>
    <m/>
    <s v="BR2CKN3"/>
    <m/>
    <s v="OK"/>
    <m/>
    <s v="CN-0K6G4N-TV200-57G-0T8L-A01"/>
    <m/>
    <m/>
    <m/>
    <m/>
  </r>
  <r>
    <s v="Sofia KHIYI"/>
    <x v="0"/>
    <x v="1"/>
    <x v="18"/>
    <s v="Microsoft Windows 11 Pro"/>
    <m/>
    <s v="16 GO"/>
    <m/>
    <m/>
    <s v="C6XBKN3"/>
    <m/>
    <s v="OK"/>
    <m/>
    <s v="CN-0K6G4N-TV200-57G-1C2L-A01"/>
    <m/>
    <m/>
    <m/>
    <m/>
  </r>
  <r>
    <s v="Mohamed EL HAOUARI"/>
    <x v="0"/>
    <x v="2"/>
    <x v="19"/>
    <s v="Microsoft Windows 10 Pro"/>
    <m/>
    <s v="16 GO"/>
    <m/>
    <m/>
    <s v="PF2GD5TS"/>
    <m/>
    <s v="OK"/>
    <s v="P2415Qb"/>
    <s v="CN-029C29-74261-513-27JB"/>
    <m/>
    <m/>
    <m/>
    <m/>
  </r>
  <r>
    <s v="Soukaina DEKAYIR"/>
    <x v="0"/>
    <x v="1"/>
    <x v="7"/>
    <s v="Microsoft Windows 11 Pro"/>
    <m/>
    <s v="32 GO"/>
    <m/>
    <m/>
    <s v="4WPG5X3"/>
    <m/>
    <s v="OK"/>
    <m/>
    <m/>
    <m/>
    <m/>
    <m/>
    <m/>
  </r>
  <r>
    <s v="Nada BELKEBIR"/>
    <x v="0"/>
    <x v="1"/>
    <x v="1"/>
    <s v="Microsoft Windows 10 Pro"/>
    <m/>
    <s v="8 GO"/>
    <m/>
    <m/>
    <s v="FD2JNV2"/>
    <m/>
    <s v="OK"/>
    <s v="DELL P2424HE"/>
    <s v="8FDT2N2"/>
    <m/>
    <m/>
    <m/>
    <m/>
  </r>
  <r>
    <s v="Abdallah RHARBAOUI"/>
    <x v="0"/>
    <x v="1"/>
    <x v="20"/>
    <s v="Microsoft Windows 10 Pro"/>
    <m/>
    <s v="8 GO"/>
    <m/>
    <m/>
    <s v="744KST2"/>
    <m/>
    <s v="OK"/>
    <s v="DELL P2424HE"/>
    <s v="C890ZT2"/>
    <m/>
    <m/>
    <m/>
    <m/>
  </r>
  <r>
    <s v="Sabrine EL ASRI"/>
    <x v="0"/>
    <x v="1"/>
    <x v="20"/>
    <s v="Microsoft Windows 10 Pro"/>
    <m/>
    <s v="8 GO"/>
    <m/>
    <m/>
    <s v="F3Q0XT2"/>
    <m/>
    <s v="OK"/>
    <m/>
    <s v="38DT2N2"/>
    <m/>
    <m/>
    <m/>
    <m/>
  </r>
  <r>
    <s v="Lafdali KHOUY"/>
    <x v="0"/>
    <x v="1"/>
    <x v="20"/>
    <s v="Microsoft Windows 10 Pro"/>
    <m/>
    <s v="8 GO"/>
    <m/>
    <m/>
    <s v="FJ47WT2"/>
    <m/>
    <s v="OK"/>
    <m/>
    <s v="CN-0QV47J-QDC00-92A-38A5-A03"/>
    <m/>
    <m/>
    <m/>
    <m/>
  </r>
  <r>
    <s v="Slimane SMOUH"/>
    <x v="0"/>
    <x v="2"/>
    <x v="2"/>
    <s v="Microsoft Windows 11 Pro"/>
    <s v="512 GO "/>
    <s v="16 GO"/>
    <s v="330 GO"/>
    <s v="Core Ultra 7 255U"/>
    <s v="PF4J2K0D"/>
    <m/>
    <s v="OK"/>
    <s v="DELL P2425HE"/>
    <s v="BRXZNM2"/>
    <s v="oui"/>
    <s v="oui"/>
    <s v="oui"/>
    <s v="oui"/>
  </r>
  <r>
    <s v="Imane BOULBOUL"/>
    <x v="0"/>
    <x v="2"/>
    <x v="2"/>
    <s v="Microsoft Windows 11 Pro"/>
    <s v="512 GO"/>
    <s v="16 GO"/>
    <s v="324 GO"/>
    <s v="Core Ultra 7 255U"/>
    <s v="PF4J2M8B"/>
    <m/>
    <s v="OK"/>
    <s v="DELL P2419H"/>
    <s v="CN-029C29-74261-513-27UB"/>
    <s v="oui"/>
    <s v="oui"/>
    <s v="oui"/>
    <s v="oui"/>
  </r>
  <r>
    <s v="Hassan KIBBOU"/>
    <x v="0"/>
    <x v="2"/>
    <x v="21"/>
    <s v="Microsoft Windows 11 Pro"/>
    <s v="512 GO"/>
    <s v="16 GO"/>
    <s v="287 GO"/>
    <s v="core I5 12gen"/>
    <s v="PF44TBAW"/>
    <m/>
    <s v="OK"/>
    <m/>
    <s v="7YN39C2"/>
    <s v="oui"/>
    <s v="oui"/>
    <s v="oui"/>
    <s v="oui"/>
  </r>
  <r>
    <s v="ADAM MCHAOUAR"/>
    <x v="0"/>
    <x v="2"/>
    <x v="22"/>
    <s v="Microsoft Windows 11 Pro"/>
    <s v="512 GO"/>
    <s v="16 GO"/>
    <s v="319 GO"/>
    <s v="core i5 13gen"/>
    <s v="PF4GGHD1"/>
    <m/>
    <s v="OK"/>
    <s v="DELL P2425HE"/>
    <s v="3BB19J2 "/>
    <s v="oui"/>
    <s v="oui"/>
    <s v="oui"/>
    <s v="oui"/>
  </r>
  <r>
    <s v="Nizar OUZIANE"/>
    <x v="0"/>
    <x v="2"/>
    <x v="22"/>
    <s v="Microsoft Windows 11 Pro"/>
    <m/>
    <s v="16 GO"/>
    <m/>
    <s v="core i5 13gen"/>
    <s v="PF4MX6XY"/>
    <m/>
    <s v="OK"/>
    <m/>
    <s v="8970ZT2"/>
    <s v="oui"/>
    <s v="oui"/>
    <s v="oui"/>
    <s v="oui"/>
  </r>
  <r>
    <s v="Redouan YESSOUF"/>
    <x v="0"/>
    <x v="2"/>
    <x v="22"/>
    <s v="Microsoft Windows 11 Pro"/>
    <m/>
    <s v="16 GO"/>
    <m/>
    <s v="core i5 13gen"/>
    <s v="PF4MX6Y8"/>
    <m/>
    <s v="OK"/>
    <m/>
    <s v="CN-00G2TG-TV200-7CM-03UU-A02"/>
    <s v="oui"/>
    <s v="oui"/>
    <s v="oui"/>
    <s v="oui"/>
  </r>
  <r>
    <s v="Jad HAOUARI"/>
    <x v="0"/>
    <x v="2"/>
    <x v="3"/>
    <s v="Microsoft Windows 11 Pro"/>
    <m/>
    <s v="16 GO"/>
    <m/>
    <s v="core i5 13gen"/>
    <s v="PF5YMS37"/>
    <m/>
    <s v="OK"/>
    <s v="DELL P2424HE"/>
    <s v="8BRHD94"/>
    <s v="oui"/>
    <s v="oui"/>
    <s v="oui"/>
    <s v="oui"/>
  </r>
  <r>
    <s v="Abdelkrim EL YACOUBI"/>
    <x v="0"/>
    <x v="2"/>
    <x v="19"/>
    <s v="Microsoft Windows 11 Pro"/>
    <m/>
    <s v="16 GO"/>
    <m/>
    <s v="core i5 13gen"/>
    <s v="PF2GDB1F"/>
    <m/>
    <s v="OK"/>
    <m/>
    <s v="CN-0KNYZJ-QDC00-92A-3805-A08"/>
    <s v="oui"/>
    <s v="oui"/>
    <s v="oui"/>
    <s v="oui"/>
  </r>
  <r>
    <s v="Meryem Fariss"/>
    <x v="2"/>
    <x v="1"/>
    <x v="23"/>
    <s v="Microsoft Windows 10 Pro"/>
    <s v="240 GO"/>
    <s v="8 GO"/>
    <s v="120 GO"/>
    <s v="Core i5 8gen"/>
    <s v="2Y00VW2"/>
    <m/>
    <s v="OK"/>
    <s v="HP V241a"/>
    <s v="3CQ4432WCC"/>
    <s v="ok"/>
    <s v="ok"/>
    <s v="ok"/>
    <s v="ok"/>
  </r>
  <r>
    <s v="Douae MHAJIR"/>
    <x v="0"/>
    <x v="4"/>
    <x v="24"/>
    <s v="Microsoft Windows 10 Pro"/>
    <s v="256 GO"/>
    <s v="8 GO"/>
    <s v="136 GO"/>
    <s v="Core i5 7gen"/>
    <s v="DS1T004807"/>
    <m/>
    <s v="OK"/>
    <s v="DELL P2425HE"/>
    <s v="131JD94"/>
    <s v="oui"/>
    <s v="oui"/>
    <s v="oui"/>
    <s v="oui"/>
  </r>
  <r>
    <s v="Manal margoum"/>
    <x v="2"/>
    <x v="1"/>
    <x v="25"/>
    <s v="Win 10 22H2"/>
    <s v="1 TB"/>
    <s v="8 GO"/>
    <s v="744 GO"/>
    <s v="Core i5 10 gen"/>
    <s v="J02VTC3"/>
    <s v="Latitude 7490"/>
    <s v="OK"/>
    <m/>
    <m/>
    <s v="ok"/>
    <s v="ok"/>
    <s v="ok"/>
    <s v="ok"/>
  </r>
  <r>
    <s v="Rihab JEBARI"/>
    <x v="0"/>
    <x v="4"/>
    <x v="24"/>
    <s v="Microsoft Windows 10 Pro"/>
    <s v="256 GO"/>
    <s v="8 GO"/>
    <s v="136 GO"/>
    <s v="Core i5 7gen"/>
    <s v="DS1T004810"/>
    <m/>
    <s v="OK"/>
    <s v="DELL P2214H5"/>
    <s v="C21JD94"/>
    <s v="oui"/>
    <s v="oui"/>
    <s v="oui"/>
    <s v="oui"/>
  </r>
  <r>
    <s v="Jihane ATMANI"/>
    <x v="0"/>
    <x v="1"/>
    <x v="7"/>
    <s v="Microsoft Windows 11 Pro"/>
    <s v="512 GO "/>
    <s v="32 GO"/>
    <s v="318 GO"/>
    <s v="core I5 12gen"/>
    <s v="DVPG5X3"/>
    <m/>
    <s v="OK"/>
    <s v="DELL P2419H"/>
    <s v="6P8OZT2"/>
    <s v="oui"/>
    <s v="oui"/>
    <s v="oui"/>
    <s v="oui"/>
  </r>
  <r>
    <s v="Hind OULKATAB"/>
    <x v="0"/>
    <x v="2"/>
    <x v="21"/>
    <s v="Microsoft Windows 10 Pro"/>
    <s v="512 GO"/>
    <s v="16 GO"/>
    <s v="319 GO"/>
    <s v="Core i7 8gen"/>
    <s v="PF1JFWSW"/>
    <m/>
    <s v="OK"/>
    <s v="DELL P2419H"/>
    <s v="77DT2N2"/>
    <s v="oui"/>
    <s v="oui"/>
    <s v="oui"/>
    <s v="oui"/>
  </r>
  <r>
    <s v="RACHID RAMZI"/>
    <x v="2"/>
    <x v="1"/>
    <x v="23"/>
    <s v="Microsoft Windows 11 Pro"/>
    <s v="500 Go"/>
    <s v="8 GO"/>
    <s v="334 GO"/>
    <s v="Core i5 8gen"/>
    <s v="HX00VW2"/>
    <s v="IMAC de admin"/>
    <s v="OK"/>
    <s v="DELL P2425HE"/>
    <s v="CN-0K6G4N-TV200-57G-1BZL-A01"/>
    <s v="ok"/>
    <s v="no"/>
    <s v="ok"/>
    <s v="ok"/>
  </r>
  <r>
    <s v="Mohamed MAKAOUI"/>
    <x v="0"/>
    <x v="1"/>
    <x v="6"/>
    <s v="Microsoft Windows 10 Pro"/>
    <s v="1TB"/>
    <s v="16 GO"/>
    <m/>
    <m/>
    <s v="F4XBKN3"/>
    <m/>
    <s v="OK"/>
    <s v="DELL P2419H"/>
    <s v="CN-029C29-74261-513-1E4B"/>
    <m/>
    <m/>
    <m/>
    <m/>
  </r>
  <r>
    <s v="Jad HAOUARI"/>
    <x v="0"/>
    <x v="2"/>
    <x v="14"/>
    <s v="Microsoft Windows 11 Pro"/>
    <s v="512 GO"/>
    <s v="16 GO"/>
    <s v="344 Go"/>
    <s v="Core Ultra 7 255U"/>
    <s v="PF5YMNTX"/>
    <m/>
    <s v="OK"/>
    <s v="DELL P2419H"/>
    <s v="7HWHD94"/>
    <s v="oui"/>
    <s v="oui"/>
    <s v="oui"/>
    <s v="oui"/>
  </r>
  <r>
    <s v="khadija HADDANI"/>
    <x v="2"/>
    <x v="1"/>
    <x v="26"/>
    <s v="Microsoft Windows 7 Pro"/>
    <s v="500 Go"/>
    <s v="8 GO"/>
    <s v="346 GO"/>
    <s v="Core i7 4gen"/>
    <s v="4N6TV42"/>
    <m/>
    <s v="OK"/>
    <s v="DELL P2425HE"/>
    <s v="B7DT2N2"/>
    <s v="no"/>
    <s v="no"/>
    <s v="oui"/>
    <s v="oui"/>
  </r>
  <r>
    <s v="Wafa EL FJIJI"/>
    <x v="0"/>
    <x v="1"/>
    <x v="1"/>
    <s v="Microsoft Windows 10 Pro"/>
    <s v="256 GO"/>
    <s v="8 GO"/>
    <s v="5 GO"/>
    <s v="Core i7 8gen"/>
    <s v="81X4XT2"/>
    <m/>
    <s v="OK"/>
    <s v="DELL P2425HE"/>
    <s v="H9DT2N2"/>
    <s v="oui"/>
    <s v="oui"/>
    <s v="oui"/>
    <s v="oui"/>
  </r>
  <r>
    <s v="Ikram SKELLI"/>
    <x v="0"/>
    <x v="1"/>
    <x v="16"/>
    <s v="Microsoft Windows 10 Pro"/>
    <s v="250 GO "/>
    <s v="16 GO"/>
    <s v="92 GO"/>
    <s v="Core i5 10 gen"/>
    <s v="FSR8R73"/>
    <m/>
    <s v="OK"/>
    <s v="DELL P2424HE"/>
    <s v="3BB19J2"/>
    <s v="oui"/>
    <s v="ok"/>
    <s v="ok"/>
    <s v="ok"/>
  </r>
  <r>
    <s v="Mohamed BENYAHIA"/>
    <x v="0"/>
    <x v="2"/>
    <x v="22"/>
    <s v="Microsoft Windows 11 Pro"/>
    <m/>
    <s v="16 GO"/>
    <m/>
    <s v="core i5 13gen"/>
    <s v="PF4MX6P8"/>
    <m/>
    <s v="OK"/>
    <m/>
    <m/>
    <s v="oui"/>
    <s v="oui"/>
    <s v="oui"/>
    <s v="oui"/>
  </r>
  <r>
    <s v="Abderrahman BELMOKHTAR"/>
    <x v="0"/>
    <x v="2"/>
    <x v="3"/>
    <s v="Microsoft Windows 11 Pro"/>
    <s v="512 GO"/>
    <s v="16 GO"/>
    <s v="344 Go"/>
    <s v="core i5 13gen"/>
    <s v="PF5YMRW1"/>
    <m/>
    <s v="OK"/>
    <s v="DELL P2425HE"/>
    <s v="C8DT2N2"/>
    <s v="oui"/>
    <s v="oui"/>
    <s v="oui"/>
    <s v="oui"/>
  </r>
  <r>
    <s v="Agent de sécurité AMEE"/>
    <x v="3"/>
    <x v="1"/>
    <x v="27"/>
    <m/>
    <m/>
    <m/>
    <m/>
    <m/>
    <s v="231JD94"/>
    <m/>
    <m/>
    <m/>
    <m/>
    <m/>
    <m/>
    <m/>
    <m/>
  </r>
  <r>
    <s v="khalid agouzal"/>
    <x v="3"/>
    <x v="1"/>
    <x v="28"/>
    <m/>
    <m/>
    <m/>
    <m/>
    <m/>
    <s v="1HWHD94"/>
    <m/>
    <m/>
    <m/>
    <m/>
    <m/>
    <m/>
    <m/>
    <m/>
  </r>
  <r>
    <s v="Halima MANAR"/>
    <x v="3"/>
    <x v="1"/>
    <x v="27"/>
    <m/>
    <m/>
    <m/>
    <m/>
    <m/>
    <s v="F280ZT2"/>
    <m/>
    <m/>
    <m/>
    <m/>
    <m/>
    <m/>
    <m/>
    <m/>
  </r>
  <r>
    <s v="Aziz EJMILA"/>
    <x v="3"/>
    <x v="1"/>
    <x v="27"/>
    <m/>
    <m/>
    <m/>
    <m/>
    <m/>
    <s v="CN-0D8VXF-QDC00-9B0-04WB-A14"/>
    <m/>
    <m/>
    <m/>
    <m/>
    <m/>
    <m/>
    <m/>
    <m/>
  </r>
  <r>
    <s v="Amine AHMARRAS"/>
    <x v="3"/>
    <x v="1"/>
    <x v="29"/>
    <m/>
    <m/>
    <m/>
    <m/>
    <m/>
    <s v="CN-D8UXF-QDC00-988-04AB-A14"/>
    <m/>
    <m/>
    <m/>
    <m/>
    <m/>
    <m/>
    <m/>
    <m/>
  </r>
  <r>
    <s v="Bouchra EL HILALI"/>
    <x v="3"/>
    <x v="1"/>
    <x v="27"/>
    <m/>
    <m/>
    <m/>
    <m/>
    <m/>
    <s v="CN-029C29-74261-513-27TB"/>
    <m/>
    <m/>
    <m/>
    <m/>
    <m/>
    <m/>
    <m/>
    <m/>
  </r>
  <r>
    <s v="zakaria abiri"/>
    <x v="3"/>
    <x v="1"/>
    <x v="29"/>
    <m/>
    <m/>
    <m/>
    <m/>
    <m/>
    <s v="6BRHD94"/>
    <m/>
    <m/>
    <m/>
    <m/>
    <m/>
    <m/>
    <m/>
    <m/>
  </r>
  <r>
    <s v="halima essobaihi"/>
    <x v="3"/>
    <x v="1"/>
    <x v="27"/>
    <m/>
    <m/>
    <m/>
    <m/>
    <m/>
    <s v="533JSC3"/>
    <m/>
    <m/>
    <m/>
    <m/>
    <m/>
    <m/>
    <m/>
    <m/>
  </r>
  <r>
    <s v="Ayoub ANTARI"/>
    <x v="3"/>
    <x v="1"/>
    <x v="29"/>
    <m/>
    <m/>
    <m/>
    <m/>
    <m/>
    <s v="5N70ZT2"/>
    <m/>
    <m/>
    <m/>
    <m/>
    <m/>
    <m/>
    <m/>
    <m/>
  </r>
  <r>
    <s v="Youssef EL HAMID"/>
    <x v="3"/>
    <x v="1"/>
    <x v="28"/>
    <m/>
    <m/>
    <m/>
    <m/>
    <m/>
    <s v="CN-0K6G4N-TV200-57G-1C1L-A01"/>
    <m/>
    <m/>
    <m/>
    <m/>
    <m/>
    <m/>
    <m/>
    <m/>
  </r>
  <r>
    <s v="Souad BOUNFOUR"/>
    <x v="3"/>
    <x v="1"/>
    <x v="27"/>
    <m/>
    <m/>
    <m/>
    <m/>
    <m/>
    <s v="CN-0KNYZJ-QDC00-92A-31C5-103"/>
    <m/>
    <m/>
    <m/>
    <m/>
    <m/>
    <m/>
    <m/>
    <m/>
  </r>
  <r>
    <s v="Hafsa HOUSNI"/>
    <x v="3"/>
    <x v="1"/>
    <x v="27"/>
    <m/>
    <m/>
    <m/>
    <m/>
    <m/>
    <s v="CN-OD8VXF-QDC00-988-04NB-A14"/>
    <m/>
    <m/>
    <m/>
    <m/>
    <m/>
    <m/>
    <m/>
    <m/>
  </r>
  <r>
    <s v="khadija HADDANI"/>
    <x v="3"/>
    <x v="1"/>
    <x v="28"/>
    <m/>
    <m/>
    <m/>
    <m/>
    <m/>
    <s v="CN-D8VXF-QDC00-9B8"/>
    <m/>
    <m/>
    <m/>
    <m/>
    <m/>
    <m/>
    <m/>
    <m/>
  </r>
  <r>
    <s v="Hakima EL MADRARI"/>
    <x v="3"/>
    <x v="1"/>
    <x v="27"/>
    <m/>
    <m/>
    <m/>
    <m/>
    <m/>
    <s v="B8DT2N2"/>
    <m/>
    <m/>
    <m/>
    <m/>
    <m/>
    <m/>
    <m/>
    <m/>
  </r>
  <r>
    <s v="Amal hammoussah"/>
    <x v="3"/>
    <x v="1"/>
    <x v="30"/>
    <m/>
    <m/>
    <m/>
    <m/>
    <m/>
    <s v="4BRHD94"/>
    <m/>
    <m/>
    <m/>
    <m/>
    <m/>
    <m/>
    <m/>
    <m/>
  </r>
  <r>
    <s v="Ismail boumajdi"/>
    <x v="3"/>
    <x v="1"/>
    <x v="28"/>
    <m/>
    <m/>
    <m/>
    <m/>
    <m/>
    <s v="CN-029C29-74261-513-27KB"/>
    <m/>
    <m/>
    <m/>
    <m/>
    <m/>
    <m/>
    <m/>
    <m/>
  </r>
  <r>
    <s v="Fatima ANEJJAR"/>
    <x v="3"/>
    <x v="1"/>
    <x v="28"/>
    <m/>
    <m/>
    <m/>
    <m/>
    <m/>
    <s v="2B70ZT2"/>
    <m/>
    <m/>
    <m/>
    <m/>
    <m/>
    <m/>
    <m/>
    <m/>
  </r>
  <r>
    <s v="Sara BOUSLAMTI"/>
    <x v="3"/>
    <x v="1"/>
    <x v="28"/>
    <m/>
    <m/>
    <m/>
    <m/>
    <m/>
    <s v="CN-0K6G4N-TV200-57G-0T8L-A01"/>
    <m/>
    <m/>
    <m/>
    <m/>
    <m/>
    <m/>
    <m/>
    <m/>
  </r>
  <r>
    <s v="Sofia KHIYI"/>
    <x v="3"/>
    <x v="1"/>
    <x v="31"/>
    <m/>
    <m/>
    <m/>
    <m/>
    <m/>
    <s v="CN-0K6G4N-TV200-57G-1C2L-A01"/>
    <m/>
    <m/>
    <m/>
    <m/>
    <m/>
    <m/>
    <m/>
    <m/>
  </r>
  <r>
    <s v="Mohamed EL HAOUARI"/>
    <x v="3"/>
    <x v="1"/>
    <x v="28"/>
    <m/>
    <m/>
    <m/>
    <m/>
    <m/>
    <s v="CN-029C29-74261-513-27JB"/>
    <m/>
    <m/>
    <m/>
    <m/>
    <m/>
    <m/>
    <m/>
    <m/>
  </r>
  <r>
    <s v="Nada BELKEBIR"/>
    <x v="3"/>
    <x v="1"/>
    <x v="32"/>
    <m/>
    <m/>
    <m/>
    <m/>
    <m/>
    <s v="8FDT2N2"/>
    <m/>
    <m/>
    <m/>
    <m/>
    <m/>
    <m/>
    <m/>
    <m/>
  </r>
  <r>
    <s v="Abdallah RHARBAOUI"/>
    <x v="3"/>
    <x v="1"/>
    <x v="28"/>
    <m/>
    <m/>
    <m/>
    <m/>
    <m/>
    <s v="C890ZT2"/>
    <m/>
    <m/>
    <m/>
    <m/>
    <m/>
    <m/>
    <m/>
    <m/>
  </r>
  <r>
    <s v="Sabrine EL ASRI"/>
    <x v="3"/>
    <x v="1"/>
    <x v="28"/>
    <m/>
    <m/>
    <m/>
    <m/>
    <m/>
    <s v="38DT2N2"/>
    <m/>
    <m/>
    <m/>
    <m/>
    <m/>
    <m/>
    <m/>
    <m/>
  </r>
  <r>
    <s v="Lafdali KHOUY"/>
    <x v="3"/>
    <x v="1"/>
    <x v="27"/>
    <m/>
    <m/>
    <m/>
    <m/>
    <m/>
    <s v="CN-0QV47J-QDC00-92A-38A5-A03"/>
    <m/>
    <m/>
    <m/>
    <m/>
    <m/>
    <m/>
    <m/>
    <m/>
  </r>
  <r>
    <s v="Slimane SMOUH"/>
    <x v="3"/>
    <x v="1"/>
    <x v="29"/>
    <m/>
    <m/>
    <m/>
    <m/>
    <m/>
    <s v="BRXZNM2"/>
    <m/>
    <m/>
    <m/>
    <m/>
    <m/>
    <m/>
    <m/>
    <m/>
  </r>
  <r>
    <s v="Imane BOULBOUL"/>
    <x v="3"/>
    <x v="1"/>
    <x v="28"/>
    <m/>
    <m/>
    <m/>
    <m/>
    <m/>
    <s v="CN-029C29-74261-513-27UB"/>
    <m/>
    <m/>
    <m/>
    <m/>
    <m/>
    <m/>
    <m/>
    <m/>
  </r>
  <r>
    <s v="Hassan KIBBOU"/>
    <x v="3"/>
    <x v="1"/>
    <x v="27"/>
    <m/>
    <m/>
    <m/>
    <m/>
    <m/>
    <s v="7YN39C2"/>
    <m/>
    <m/>
    <m/>
    <m/>
    <m/>
    <m/>
    <m/>
    <m/>
  </r>
  <r>
    <s v="ADAM MCHAOUAR"/>
    <x v="3"/>
    <x v="1"/>
    <x v="28"/>
    <m/>
    <m/>
    <m/>
    <m/>
    <m/>
    <s v="3BB19J2 "/>
    <m/>
    <m/>
    <m/>
    <m/>
    <m/>
    <m/>
    <m/>
    <m/>
  </r>
  <r>
    <s v="Nizar OUZIANE"/>
    <x v="3"/>
    <x v="1"/>
    <x v="28"/>
    <m/>
    <m/>
    <m/>
    <m/>
    <m/>
    <s v="8970ZT2"/>
    <m/>
    <m/>
    <m/>
    <m/>
    <m/>
    <m/>
    <m/>
    <m/>
  </r>
  <r>
    <s v="Redouan YESSOUF"/>
    <x v="3"/>
    <x v="1"/>
    <x v="32"/>
    <m/>
    <m/>
    <m/>
    <m/>
    <m/>
    <s v="CN-00G2TG-TV200-7CM-03UU-A02"/>
    <m/>
    <m/>
    <m/>
    <m/>
    <m/>
    <m/>
    <m/>
    <m/>
  </r>
  <r>
    <s v="Jad HAOUARI"/>
    <x v="3"/>
    <x v="1"/>
    <x v="28"/>
    <m/>
    <m/>
    <m/>
    <m/>
    <m/>
    <s v="8BRHD94"/>
    <m/>
    <m/>
    <m/>
    <m/>
    <m/>
    <m/>
    <m/>
    <m/>
  </r>
  <r>
    <s v="Abdelkrim EL YACOUBI"/>
    <x v="3"/>
    <x v="5"/>
    <x v="33"/>
    <m/>
    <m/>
    <m/>
    <m/>
    <m/>
    <s v="CN-0KNYZJ-QDC00-92A-3805-A08"/>
    <m/>
    <m/>
    <m/>
    <m/>
    <m/>
    <m/>
    <m/>
    <m/>
  </r>
  <r>
    <s v="Meryem Fariss"/>
    <x v="3"/>
    <x v="1"/>
    <x v="34"/>
    <m/>
    <m/>
    <m/>
    <m/>
    <m/>
    <s v="3CQ4432WCC"/>
    <m/>
    <m/>
    <m/>
    <m/>
    <m/>
    <m/>
    <m/>
    <m/>
  </r>
  <r>
    <s v="Douae MHAJIR"/>
    <x v="3"/>
    <x v="1"/>
    <x v="28"/>
    <m/>
    <m/>
    <m/>
    <m/>
    <m/>
    <s v="131JD94"/>
    <m/>
    <m/>
    <m/>
    <m/>
    <m/>
    <m/>
    <m/>
    <m/>
  </r>
  <r>
    <s v="Rihab JEBARI"/>
    <x v="3"/>
    <x v="1"/>
    <x v="29"/>
    <m/>
    <m/>
    <m/>
    <m/>
    <m/>
    <s v="C21JD94"/>
    <m/>
    <m/>
    <m/>
    <m/>
    <m/>
    <m/>
    <m/>
    <m/>
  </r>
  <r>
    <s v="Jihane ATMANI"/>
    <x v="3"/>
    <x v="1"/>
    <x v="29"/>
    <m/>
    <m/>
    <m/>
    <m/>
    <m/>
    <s v="6P8OZT2"/>
    <m/>
    <m/>
    <m/>
    <m/>
    <m/>
    <m/>
    <m/>
    <m/>
  </r>
  <r>
    <s v="Hind OULKATAB"/>
    <x v="3"/>
    <x v="1"/>
    <x v="27"/>
    <m/>
    <m/>
    <m/>
    <m/>
    <m/>
    <s v="77DT2N2"/>
    <m/>
    <m/>
    <m/>
    <m/>
    <m/>
    <m/>
    <m/>
    <m/>
  </r>
  <r>
    <s v="RACHID RAMZI"/>
    <x v="3"/>
    <x v="1"/>
    <x v="29"/>
    <m/>
    <m/>
    <m/>
    <m/>
    <m/>
    <s v="CN-0K6G4N-TV200-57G-1BZL-A01"/>
    <m/>
    <m/>
    <m/>
    <m/>
    <m/>
    <m/>
    <m/>
    <m/>
  </r>
  <r>
    <s v="Mohamed MAKAOUI"/>
    <x v="3"/>
    <x v="1"/>
    <x v="29"/>
    <m/>
    <m/>
    <m/>
    <m/>
    <m/>
    <s v="CN-029C29-74261-513-1E4B"/>
    <m/>
    <m/>
    <m/>
    <m/>
    <m/>
    <m/>
    <m/>
    <m/>
  </r>
  <r>
    <s v="Jad HAOUARI"/>
    <x v="3"/>
    <x v="1"/>
    <x v="27"/>
    <m/>
    <m/>
    <m/>
    <m/>
    <m/>
    <s v="7HWHD94"/>
    <m/>
    <m/>
    <m/>
    <m/>
    <m/>
    <m/>
    <m/>
    <m/>
  </r>
  <r>
    <s v="khadija HADDANI"/>
    <x v="3"/>
    <x v="1"/>
    <x v="27"/>
    <m/>
    <m/>
    <m/>
    <m/>
    <m/>
    <s v="B7DT2N2"/>
    <m/>
    <m/>
    <m/>
    <m/>
    <m/>
    <m/>
    <m/>
    <m/>
  </r>
  <r>
    <s v="Wafa EL FJIJI"/>
    <x v="3"/>
    <x v="1"/>
    <x v="32"/>
    <m/>
    <m/>
    <m/>
    <m/>
    <m/>
    <s v="H9DT2N2"/>
    <m/>
    <m/>
    <m/>
    <m/>
    <m/>
    <m/>
    <m/>
    <m/>
  </r>
  <r>
    <s v="Ikram SKELLI"/>
    <x v="3"/>
    <x v="1"/>
    <x v="28"/>
    <m/>
    <m/>
    <m/>
    <m/>
    <m/>
    <s v="3BB19J2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Tableau croisé dynamique12" cacheId="185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8">
  <location ref="A15:B20" firstHeaderRow="1" firstDataRow="1" firstDataCol="1"/>
  <pivotFields count="18">
    <pivotField showAll="0"/>
    <pivotField axis="axisRow" dataField="1" showAll="0" sortType="descending">
      <items count="8">
        <item x="3"/>
        <item x="2"/>
        <item m="1" x="6"/>
        <item m="1" x="5"/>
        <item x="0"/>
        <item x="1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4"/>
    </i>
    <i>
      <x/>
    </i>
    <i>
      <x v="5"/>
    </i>
    <i>
      <x v="1"/>
    </i>
    <i t="grand">
      <x/>
    </i>
  </rowItems>
  <colItems count="1">
    <i/>
  </colItems>
  <dataFields count="1">
    <dataField name="Nombre de Type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9000000}" name="Tableau croisé dynamique5" cacheId="182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1">
  <location ref="A95:D101" firstHeaderRow="1" firstDataRow="2" firstDataCol="1"/>
  <pivotFields count="4">
    <pivotField showAll="0"/>
    <pivotField axis="axisRow" dataField="1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n="PC Fixee" x="1"/>
        <item x="0"/>
        <item t="default"/>
      </items>
    </pivotField>
  </pivotFields>
  <rowFields count="1">
    <field x="1"/>
  </rowFields>
  <rowItems count="5">
    <i>
      <x v="2"/>
    </i>
    <i>
      <x v="3"/>
    </i>
    <i>
      <x v="1"/>
    </i>
    <i>
      <x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Nombre de Nom" fld="1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Tableau croisé dynamique4" cacheId="181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55">
  <location ref="A73:B84" firstHeaderRow="1" firstDataRow="1" firstDataCol="1"/>
  <pivotFields count="5">
    <pivotField showAll="0"/>
    <pivotField axis="axisRow" dataField="1" showAll="0" sortType="descending">
      <items count="12">
        <item x="4"/>
        <item x="6"/>
        <item x="2"/>
        <item m="1" x="10"/>
        <item x="7"/>
        <item x="1"/>
        <item x="8"/>
        <item x="3"/>
        <item x="0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11">
    <i>
      <x v="5"/>
    </i>
    <i>
      <x v="2"/>
    </i>
    <i>
      <x/>
    </i>
    <i>
      <x v="8"/>
    </i>
    <i>
      <x v="7"/>
    </i>
    <i>
      <x v="1"/>
    </i>
    <i>
      <x v="4"/>
    </i>
    <i>
      <x v="9"/>
    </i>
    <i>
      <x v="10"/>
    </i>
    <i>
      <x v="6"/>
    </i>
    <i t="grand">
      <x/>
    </i>
  </rowItems>
  <colItems count="1">
    <i/>
  </colItems>
  <dataFields count="1">
    <dataField name="Nombre de Nature de l'application" fld="1" subtotal="count" baseField="0" baseItem="0"/>
  </dataFields>
  <chartFormats count="3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eau croisé dynamique3" cacheId="181" applyNumberFormats="0" applyBorderFormats="0" applyFontFormats="0" applyPatternFormats="0" applyAlignmentFormats="0" applyWidthHeightFormats="1" dataCaption="Valeurs" updatedVersion="6" minRefreshableVersion="3" showDrill="0" useAutoFormatting="1" itemPrintTitles="1" createdVersion="5" indent="0" outline="1" outlineData="1" multipleFieldFilters="0" chartFormat="50" rowHeaderCaption="" colHeaderCaption="">
  <location ref="A53:D65" firstHeaderRow="1" firstDataRow="2" firstDataCol="1"/>
  <pivotFields count="5">
    <pivotField showAll="0"/>
    <pivotField axis="axisRow" showAll="0" sortType="descending">
      <items count="12">
        <item x="4"/>
        <item x="6"/>
        <item x="2"/>
        <item m="1" x="10"/>
        <item x="7"/>
        <item x="1"/>
        <item x="8"/>
        <item x="3"/>
        <item x="0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n="PC Fixee" x="1"/>
        <item x="0"/>
        <item t="default"/>
      </items>
    </pivotField>
    <pivotField showAll="0"/>
    <pivotField showAll="0"/>
  </pivotFields>
  <rowFields count="1">
    <field x="1"/>
  </rowFields>
  <rowItems count="11">
    <i>
      <x v="5"/>
    </i>
    <i>
      <x v="2"/>
    </i>
    <i>
      <x/>
    </i>
    <i>
      <x v="8"/>
    </i>
    <i>
      <x v="7"/>
    </i>
    <i>
      <x v="1"/>
    </i>
    <i>
      <x v="4"/>
    </i>
    <i>
      <x v="9"/>
    </i>
    <i>
      <x v="10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Nature de l'application." fld="2" subtotal="count" baseField="0" baseItem="0"/>
  </dataFields>
  <formats count="2">
    <format dxfId="79">
      <pivotArea type="all" dataOnly="0" outline="0" fieldPosition="0"/>
    </format>
    <format dxfId="78">
      <pivotArea dataOnly="0" grandRow="1" fieldPosition="0"/>
    </format>
  </formats>
  <chartFormats count="3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A000000}" name="Tableau croisé dynamique8" cacheId="184" applyNumberFormats="0" applyBorderFormats="0" applyFontFormats="0" applyPatternFormats="0" applyAlignmentFormats="0" applyWidthHeightFormats="1" dataCaption="Valeurs" updatedVersion="6" minRefreshableVersion="3" showDrill="0" useAutoFormatting="1" itemPrintTitles="1" createdVersion="5" indent="0" showHeaders="0" outline="1" outlineData="1" multipleFieldFilters="0" chartFormat="50">
  <location ref="A149:C156" firstHeaderRow="1" firstDataRow="2" firstDataCol="1"/>
  <pivotFields count="6">
    <pivotField showAll="0"/>
    <pivotField axis="axisRow" dataField="1" showAll="0" sortType="descending">
      <items count="8">
        <item m="1" x="6"/>
        <item x="2"/>
        <item x="3"/>
        <item x="0"/>
        <item x="4"/>
        <item m="1"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4">
        <item x="0"/>
        <item m="1" x="2"/>
        <item m="1" x="1"/>
        <item t="default"/>
      </items>
    </pivotField>
  </pivotFields>
  <rowFields count="1">
    <field x="1"/>
  </rowFields>
  <rowItems count="6">
    <i>
      <x v="1"/>
    </i>
    <i>
      <x v="3"/>
    </i>
    <i>
      <x v="2"/>
    </i>
    <i>
      <x v="6"/>
    </i>
    <i>
      <x v="4"/>
    </i>
    <i t="grand">
      <x/>
    </i>
  </rowItems>
  <colFields count="1">
    <field x="5"/>
  </colFields>
  <colItems count="2">
    <i>
      <x/>
    </i>
    <i t="grand">
      <x/>
    </i>
  </colItems>
  <dataFields count="1">
    <dataField name="Nombre de Type" fld="1" subtotal="count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fieldPosition="0">
        <references count="1">
          <reference field="5" count="0"/>
        </references>
      </pivotArea>
    </format>
    <format dxfId="82">
      <pivotArea dataOnly="0" labelOnly="1" grandCol="1" outline="0" fieldPosition="0"/>
    </format>
    <format dxfId="81">
      <pivotArea type="topRight" dataOnly="0" labelOnly="1" outline="0" fieldPosition="0"/>
    </format>
    <format dxfId="80">
      <pivotArea type="origin" dataOnly="0" labelOnly="1" outline="0" fieldPosition="0"/>
    </format>
  </formats>
  <chartFormats count="14"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Tableau croisé dynamique7" cacheId="183" applyNumberFormats="0" applyBorderFormats="0" applyFontFormats="0" applyPatternFormats="0" applyAlignmentFormats="0" applyWidthHeightFormats="1" dataCaption="Valeurs" updatedVersion="6" minRefreshableVersion="3" showDrill="0" useAutoFormatting="1" itemPrintTitles="1" createdVersion="5" indent="0" showHeaders="0" outline="1" outlineData="1" multipleFieldFilters="0" chartFormat="46">
  <location ref="A135:C139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2">
    <i>
      <x/>
    </i>
    <i t="grand">
      <x/>
    </i>
  </colItems>
  <dataFields count="1">
    <dataField name="Nombre de Mise à jour windows" fld="4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1" cacheId="18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179:C196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Tableau croisé dynamique9" cacheId="184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36">
  <location ref="A162:B169" firstHeaderRow="1" firstDataRow="1" firstDataCol="1"/>
  <pivotFields count="6">
    <pivotField showAll="0"/>
    <pivotField axis="axisRow" showAll="0">
      <items count="8">
        <item m="1" x="6"/>
        <item x="1"/>
        <item m="1" x="5"/>
        <item x="2"/>
        <item x="4"/>
        <item x="3"/>
        <item x="0"/>
        <item t="default"/>
      </items>
    </pivotField>
    <pivotField showAll="0"/>
    <pivotField showAll="0"/>
    <pivotField showAll="0"/>
    <pivotField axis="axisRow" dataField="1" showAll="0" sortType="descending">
      <items count="4">
        <item x="0"/>
        <item m="1" x="2"/>
        <item m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1"/>
  </rowFields>
  <rowItems count="7">
    <i>
      <x/>
    </i>
    <i r="1">
      <x v="1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Nombre de Statut" fld="5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Tableau croisé dynamique11" cacheId="185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9">
  <location ref="A4:A9" firstHeaderRow="1" firstDataRow="1" firstDataCol="1"/>
  <pivotFields count="18">
    <pivotField showAll="0"/>
    <pivotField axis="axisRow" showAll="0">
      <items count="8">
        <item x="3"/>
        <item x="2"/>
        <item m="1" x="6"/>
        <item m="1" x="5"/>
        <item x="0"/>
        <item x="1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4"/>
    </i>
    <i>
      <x v="5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8000000}" name="Tableau croisé dynamique10" cacheId="18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4:C41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Tableau croisé dynamique6" cacheId="18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2">
  <location ref="A114:B119" firstHeaderRow="1" firstDataRow="1" firstDataCol="1"/>
  <pivotFields count="4">
    <pivotField showAll="0"/>
    <pivotField axis="axisRow" dataField="1" showAll="0">
      <items count="6">
        <item x="3"/>
        <item x="2"/>
        <item x="1"/>
        <item h="1" x="0"/>
        <item x="4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Nombre de Nom" fld="1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2332-91EE-486F-A16F-ECCEAC6357D4}" name="Tableau croisé dynamique3" cacheId="18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H9" firstHeaderRow="1" firstDataRow="2" firstDataCol="1"/>
  <pivotFields count="18">
    <pivotField showAll="0"/>
    <pivotField axis="axisRow" showAll="0">
      <items count="8">
        <item m="1" x="5"/>
        <item x="3"/>
        <item x="2"/>
        <item x="1"/>
        <item x="0"/>
        <item m="1" x="6"/>
        <item m="1" x="4"/>
        <item t="default"/>
      </items>
    </pivotField>
    <pivotField axis="axisCol" dataField="1" showAll="0">
      <items count="8">
        <item x="0"/>
        <item m="1" x="6"/>
        <item x="1"/>
        <item x="4"/>
        <item x="5"/>
        <item x="3"/>
        <item x="2"/>
        <item t="default"/>
      </items>
    </pivotField>
    <pivotField showAll="0">
      <items count="36">
        <item x="30"/>
        <item x="29"/>
        <item x="32"/>
        <item x="27"/>
        <item x="33"/>
        <item x="0"/>
        <item x="16"/>
        <item x="7"/>
        <item x="15"/>
        <item x="25"/>
        <item x="23"/>
        <item x="26"/>
        <item x="1"/>
        <item x="24"/>
        <item x="17"/>
        <item x="4"/>
        <item x="6"/>
        <item x="18"/>
        <item x="8"/>
        <item x="9"/>
        <item x="10"/>
        <item x="11"/>
        <item x="12"/>
        <item x="13"/>
        <item x="31"/>
        <item x="34"/>
        <item x="14"/>
        <item x="2"/>
        <item x="5"/>
        <item x="21"/>
        <item x="22"/>
        <item x="3"/>
        <item x="19"/>
        <item x="2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Nombre de Marque2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59182-0941-4ABC-BF56-C32B6CDC21E4}" name="Tableau croisé dynamique4" cacheId="186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3">
  <location ref="A16:B19" firstHeaderRow="1" firstDataRow="1" firstDataCol="1"/>
  <pivotFields count="2">
    <pivotField axis="axisRow" allDrilled="1" subtotalTop="0" showAll="0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ombre de TYPES" fld="1" subtotal="count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V MP AMEE RABAT 1T-2026.xlsx!Tableau1574">
        <x15:activeTabTopLevelEntity name="[Tableau157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6:N101" totalsRowShown="0" headerRowDxfId="62" dataDxfId="60" headerRowBorderDxfId="61" tableBorderDxfId="59">
  <autoFilter ref="A6:N101" xr:uid="{00000000-0009-0000-0100-000001000000}"/>
  <sortState ref="A7:N64">
    <sortCondition sortBy="cellColor" ref="J6:J64" dxfId="58"/>
  </sortState>
  <tableColumns count="14">
    <tableColumn id="1" xr3:uid="{00000000-0010-0000-0000-000001000000}" name="Personnes" dataDxfId="57"/>
    <tableColumn id="13" xr3:uid="{00000000-0010-0000-0000-00000D000000}" name="Type" dataDxfId="56"/>
    <tableColumn id="22" xr3:uid="{6BC919F1-E4A4-463A-9EDC-B204B8D0D59E}" name="Marque" dataDxfId="55"/>
    <tableColumn id="2" xr3:uid="{00000000-0010-0000-0000-000002000000}" name="Désigniation" dataDxfId="54"/>
    <tableColumn id="3" xr3:uid="{00000000-0010-0000-0000-000003000000}" name="Système d'expoitation" dataDxfId="53"/>
    <tableColumn id="4" xr3:uid="{00000000-0010-0000-0000-000004000000}" name="espace disque dur" dataDxfId="52"/>
    <tableColumn id="5" xr3:uid="{00000000-0010-0000-0000-000005000000}" name="RAM" dataDxfId="51"/>
    <tableColumn id="15" xr3:uid="{90D151D3-3D27-1948-AAF5-3D97411B6A76}" name="espace liber" dataDxfId="50"/>
    <tableColumn id="6" xr3:uid="{00000000-0010-0000-0000-000006000000}" name="CPU(Microprocesseur)" dataDxfId="49"/>
    <tableColumn id="7" xr3:uid="{00000000-0010-0000-0000-000007000000}" name="N°de série de la machine" dataDxfId="48"/>
    <tableColumn id="18" xr3:uid="{4E6B98F6-D11A-DA4B-9CE4-52D7379058F7}" name="Misa a jour win" dataDxfId="47"/>
    <tableColumn id="19" xr3:uid="{468FFCD3-D4A5-7E46-A1B5-0BDA240B9B1C}" name="manger engine " dataDxfId="46"/>
    <tableColumn id="20" xr3:uid="{2322F82E-910B-AD4B-99E8-E976E8309F05}" name="Antivirus kas" dataDxfId="45"/>
    <tableColumn id="14" xr3:uid="{8B016E35-CC61-DE4C-8DCF-64EFD7EA8195}" name="Netayge systeme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au1574" displayName="Tableau1574" ref="A7:E59" totalsRowShown="0" headerRowDxfId="43" dataDxfId="41" headerRowBorderDxfId="42" tableBorderDxfId="40" totalsRowBorderDxfId="39">
  <autoFilter ref="A7:E59" xr:uid="{1A775D99-0F78-454A-B597-9B0AD9CE90D7}"/>
  <tableColumns count="5">
    <tableColumn id="1" xr3:uid="{00000000-0010-0000-0300-000001000000}" name="Personnes" dataDxfId="38"/>
    <tableColumn id="4" xr3:uid="{00000000-0010-0000-0300-000004000000}" name="TYPES" dataDxfId="37"/>
    <tableColumn id="6" xr3:uid="{00000000-0010-0000-0300-000006000000}" name="Nettoyage de disque" dataDxfId="36"/>
    <tableColumn id="2" xr3:uid="{00000000-0010-0000-0300-000002000000}" name="Fichiers temporaires" dataDxfId="35"/>
    <tableColumn id="3" xr3:uid="{00000000-0010-0000-0300-000003000000}" name="Mise à jour windows" dataDxfId="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995E7-6DBC-4510-9ED7-DB12B0D32F2F}" name="Tableau1574667" displayName="Tableau1574667" ref="B7:E12" totalsRowShown="0" headerRowDxfId="27" dataDxfId="25" headerRowBorderDxfId="26">
  <autoFilter ref="B7:E12" xr:uid="{2A789E59-2728-4E86-9BF6-778AB5938FCB}"/>
  <tableColumns count="4">
    <tableColumn id="5" xr3:uid="{2A973758-6841-49EF-9273-79B0FBFB6547}" name="Type" dataDxfId="24"/>
    <tableColumn id="1" xr3:uid="{21AE0859-8EBE-46FB-9F75-2E511377BF85}" name="Marque" dataDxfId="23"/>
    <tableColumn id="4" xr3:uid="{23C99E80-BFDC-44B2-9348-753DDE7C278A}" name="Modèle" dataDxfId="22"/>
    <tableColumn id="6" xr3:uid="{EB87FB33-EBCB-498C-9530-8BE85FB369FE}" name="N° de série" dataDxfId="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G196"/>
  <sheetViews>
    <sheetView topLeftCell="A127" workbookViewId="0">
      <selection activeCell="A152" sqref="A152"/>
    </sheetView>
  </sheetViews>
  <sheetFormatPr baseColWidth="10" defaultColWidth="10.77734375" defaultRowHeight="14.4" x14ac:dyDescent="0.3"/>
  <cols>
    <col min="1" max="1" width="19.5546875" bestFit="1" customWidth="1"/>
    <col min="2" max="2" width="15" bestFit="1" customWidth="1"/>
    <col min="3" max="3" width="5.109375" bestFit="1" customWidth="1"/>
    <col min="4" max="4" width="8.109375" bestFit="1" customWidth="1"/>
    <col min="5" max="5" width="5.88671875" bestFit="1" customWidth="1"/>
    <col min="6" max="6" width="11.88671875" bestFit="1" customWidth="1"/>
    <col min="7" max="8" width="12.5546875" customWidth="1"/>
    <col min="9" max="9" width="9.77734375" customWidth="1"/>
    <col min="10" max="10" width="14.21875" customWidth="1"/>
    <col min="11" max="12" width="13.5546875" bestFit="1" customWidth="1"/>
    <col min="13" max="13" width="12.5546875" customWidth="1"/>
    <col min="14" max="14" width="12.5546875" bestFit="1" customWidth="1"/>
  </cols>
  <sheetData>
    <row r="1" spans="1:2" ht="23.4" x14ac:dyDescent="0.45">
      <c r="A1" s="9" t="s">
        <v>28</v>
      </c>
    </row>
    <row r="4" spans="1:2" x14ac:dyDescent="0.3">
      <c r="A4" s="4" t="s">
        <v>32</v>
      </c>
    </row>
    <row r="5" spans="1:2" x14ac:dyDescent="0.3">
      <c r="A5" s="5" t="s">
        <v>57</v>
      </c>
    </row>
    <row r="6" spans="1:2" x14ac:dyDescent="0.3">
      <c r="A6" s="5" t="s">
        <v>22</v>
      </c>
    </row>
    <row r="7" spans="1:2" x14ac:dyDescent="0.3">
      <c r="A7" s="5" t="s">
        <v>157</v>
      </c>
    </row>
    <row r="8" spans="1:2" x14ac:dyDescent="0.3">
      <c r="A8" s="5" t="s">
        <v>158</v>
      </c>
    </row>
    <row r="9" spans="1:2" x14ac:dyDescent="0.3">
      <c r="A9" s="5" t="s">
        <v>33</v>
      </c>
    </row>
    <row r="15" spans="1:2" x14ac:dyDescent="0.3">
      <c r="A15" s="4" t="s">
        <v>32</v>
      </c>
      <c r="B15" t="s">
        <v>34</v>
      </c>
    </row>
    <row r="16" spans="1:2" x14ac:dyDescent="0.3">
      <c r="A16" s="5" t="s">
        <v>157</v>
      </c>
      <c r="B16" s="36">
        <v>49</v>
      </c>
    </row>
    <row r="17" spans="1:7" x14ac:dyDescent="0.3">
      <c r="A17" s="5" t="s">
        <v>57</v>
      </c>
      <c r="B17" s="36">
        <v>43</v>
      </c>
    </row>
    <row r="18" spans="1:7" x14ac:dyDescent="0.3">
      <c r="A18" s="5" t="s">
        <v>158</v>
      </c>
      <c r="B18" s="36">
        <v>5</v>
      </c>
    </row>
    <row r="19" spans="1:7" x14ac:dyDescent="0.3">
      <c r="A19" s="5" t="s">
        <v>22</v>
      </c>
      <c r="B19" s="36">
        <v>4</v>
      </c>
    </row>
    <row r="20" spans="1:7" x14ac:dyDescent="0.3">
      <c r="A20" s="5" t="s">
        <v>33</v>
      </c>
      <c r="B20" s="36">
        <v>101</v>
      </c>
    </row>
    <row r="21" spans="1:7" x14ac:dyDescent="0.3">
      <c r="B21">
        <f>+B8+B28</f>
        <v>0</v>
      </c>
      <c r="C21">
        <f>+C8+C28</f>
        <v>0</v>
      </c>
      <c r="D21">
        <f>+D8+D28</f>
        <v>0</v>
      </c>
      <c r="E21">
        <f>+E8+E28</f>
        <v>0</v>
      </c>
      <c r="F21">
        <f>+F8+F28</f>
        <v>0</v>
      </c>
    </row>
    <row r="24" spans="1:7" x14ac:dyDescent="0.3">
      <c r="A24" s="52"/>
      <c r="B24" s="53"/>
      <c r="C24" s="54"/>
    </row>
    <row r="25" spans="1:7" x14ac:dyDescent="0.3">
      <c r="A25" s="55"/>
      <c r="B25" s="56"/>
      <c r="C25" s="57"/>
    </row>
    <row r="26" spans="1:7" x14ac:dyDescent="0.3">
      <c r="A26" s="55"/>
      <c r="B26" s="56"/>
      <c r="C26" s="57"/>
    </row>
    <row r="27" spans="1:7" x14ac:dyDescent="0.3">
      <c r="A27" s="55"/>
      <c r="B27" s="56"/>
      <c r="C27" s="57"/>
    </row>
    <row r="28" spans="1:7" x14ac:dyDescent="0.3">
      <c r="A28" s="55"/>
      <c r="B28" s="56"/>
      <c r="C28" s="57"/>
    </row>
    <row r="29" spans="1:7" x14ac:dyDescent="0.3">
      <c r="A29" s="55"/>
      <c r="B29" s="56"/>
      <c r="C29" s="57"/>
    </row>
    <row r="30" spans="1:7" x14ac:dyDescent="0.3">
      <c r="A30" s="55"/>
      <c r="B30" s="56"/>
      <c r="C30" s="57"/>
    </row>
    <row r="31" spans="1:7" x14ac:dyDescent="0.3">
      <c r="A31" s="55"/>
      <c r="B31" s="56"/>
      <c r="C31" s="57"/>
      <c r="D31" s="27" t="s">
        <v>29</v>
      </c>
      <c r="E31" s="27" t="s">
        <v>31</v>
      </c>
      <c r="F31" s="27" t="s">
        <v>60</v>
      </c>
      <c r="G31" s="26" t="s">
        <v>33</v>
      </c>
    </row>
    <row r="32" spans="1:7" x14ac:dyDescent="0.3">
      <c r="A32" s="55"/>
      <c r="B32" s="56"/>
      <c r="C32" s="57"/>
      <c r="D32" s="19">
        <v>0</v>
      </c>
      <c r="E32" s="19">
        <v>2</v>
      </c>
      <c r="F32" s="19">
        <v>2</v>
      </c>
      <c r="G32" s="7">
        <v>19</v>
      </c>
    </row>
    <row r="33" spans="1:7" x14ac:dyDescent="0.3">
      <c r="A33" s="55"/>
      <c r="B33" s="56"/>
      <c r="C33" s="57"/>
      <c r="D33" s="19">
        <v>1</v>
      </c>
      <c r="E33" s="19">
        <v>1</v>
      </c>
      <c r="F33" s="19"/>
      <c r="G33" s="7">
        <v>9</v>
      </c>
    </row>
    <row r="34" spans="1:7" x14ac:dyDescent="0.3">
      <c r="A34" s="55"/>
      <c r="B34" s="56"/>
      <c r="C34" s="57"/>
      <c r="D34" s="19">
        <v>1</v>
      </c>
      <c r="E34" s="19">
        <v>1</v>
      </c>
      <c r="F34" s="19">
        <v>2</v>
      </c>
      <c r="G34" s="7">
        <v>20</v>
      </c>
    </row>
    <row r="35" spans="1:7" x14ac:dyDescent="0.3">
      <c r="A35" s="55"/>
      <c r="B35" s="56"/>
      <c r="C35" s="57"/>
      <c r="D35" s="28">
        <f t="shared" ref="D35:G35" si="0">SUM(D32:D34)</f>
        <v>2</v>
      </c>
      <c r="E35" s="28">
        <f t="shared" si="0"/>
        <v>4</v>
      </c>
      <c r="F35" s="28">
        <f t="shared" si="0"/>
        <v>4</v>
      </c>
      <c r="G35" s="28">
        <f t="shared" si="0"/>
        <v>48</v>
      </c>
    </row>
    <row r="36" spans="1:7" x14ac:dyDescent="0.3">
      <c r="A36" s="55"/>
      <c r="B36" s="56"/>
      <c r="C36" s="57"/>
    </row>
    <row r="37" spans="1:7" x14ac:dyDescent="0.3">
      <c r="A37" s="55"/>
      <c r="B37" s="56"/>
      <c r="C37" s="57"/>
    </row>
    <row r="38" spans="1:7" x14ac:dyDescent="0.3">
      <c r="A38" s="55"/>
      <c r="B38" s="56"/>
      <c r="C38" s="57"/>
    </row>
    <row r="39" spans="1:7" x14ac:dyDescent="0.3">
      <c r="A39" s="55"/>
      <c r="B39" s="56"/>
      <c r="C39" s="57"/>
    </row>
    <row r="40" spans="1:7" x14ac:dyDescent="0.3">
      <c r="A40" s="55"/>
      <c r="B40" s="56"/>
      <c r="C40" s="57"/>
    </row>
    <row r="41" spans="1:7" x14ac:dyDescent="0.3">
      <c r="A41" s="58"/>
      <c r="B41" s="59"/>
      <c r="C41" s="60"/>
    </row>
    <row r="42" spans="1:7" x14ac:dyDescent="0.3">
      <c r="A42" s="7" t="s">
        <v>58</v>
      </c>
      <c r="B42" s="7">
        <v>20</v>
      </c>
    </row>
    <row r="43" spans="1:7" x14ac:dyDescent="0.3">
      <c r="A43" s="29" t="s">
        <v>33</v>
      </c>
      <c r="B43" s="29">
        <v>50</v>
      </c>
    </row>
    <row r="53" spans="1:4" x14ac:dyDescent="0.3">
      <c r="A53" s="6" t="s">
        <v>36</v>
      </c>
      <c r="B53" s="6" t="s">
        <v>55</v>
      </c>
      <c r="C53" s="7"/>
      <c r="D53" s="7"/>
    </row>
    <row r="54" spans="1:4" x14ac:dyDescent="0.3">
      <c r="A54" s="6" t="s">
        <v>55</v>
      </c>
      <c r="B54" s="7" t="s">
        <v>48</v>
      </c>
      <c r="C54" s="7" t="s">
        <v>7</v>
      </c>
      <c r="D54" s="7" t="s">
        <v>33</v>
      </c>
    </row>
    <row r="55" spans="1:4" x14ac:dyDescent="0.3">
      <c r="A55" s="8" t="s">
        <v>12</v>
      </c>
      <c r="B55" s="7">
        <v>8</v>
      </c>
      <c r="C55" s="7">
        <v>11</v>
      </c>
      <c r="D55" s="7">
        <v>19</v>
      </c>
    </row>
    <row r="56" spans="1:4" x14ac:dyDescent="0.3">
      <c r="A56" s="8" t="s">
        <v>11</v>
      </c>
      <c r="B56" s="7">
        <v>7</v>
      </c>
      <c r="C56" s="7">
        <v>11</v>
      </c>
      <c r="D56" s="7">
        <v>18</v>
      </c>
    </row>
    <row r="57" spans="1:4" x14ac:dyDescent="0.3">
      <c r="A57" s="8" t="s">
        <v>15</v>
      </c>
      <c r="B57" s="7">
        <v>5</v>
      </c>
      <c r="C57" s="7">
        <v>12</v>
      </c>
      <c r="D57" s="7">
        <v>17</v>
      </c>
    </row>
    <row r="58" spans="1:4" x14ac:dyDescent="0.3">
      <c r="A58" s="8" t="s">
        <v>53</v>
      </c>
      <c r="B58" s="7">
        <v>6</v>
      </c>
      <c r="C58" s="7">
        <v>10</v>
      </c>
      <c r="D58" s="7">
        <v>16</v>
      </c>
    </row>
    <row r="59" spans="1:4" x14ac:dyDescent="0.3">
      <c r="A59" s="8" t="s">
        <v>14</v>
      </c>
      <c r="B59" s="7">
        <v>7</v>
      </c>
      <c r="C59" s="7">
        <v>8</v>
      </c>
      <c r="D59" s="7">
        <v>15</v>
      </c>
    </row>
    <row r="60" spans="1:4" x14ac:dyDescent="0.3">
      <c r="A60" s="8" t="s">
        <v>13</v>
      </c>
      <c r="B60" s="7">
        <v>3</v>
      </c>
      <c r="C60" s="7">
        <v>1</v>
      </c>
      <c r="D60" s="7">
        <v>4</v>
      </c>
    </row>
    <row r="61" spans="1:4" x14ac:dyDescent="0.3">
      <c r="A61" s="8" t="s">
        <v>16</v>
      </c>
      <c r="B61" s="7">
        <v>2</v>
      </c>
      <c r="C61" s="7"/>
      <c r="D61" s="7">
        <v>2</v>
      </c>
    </row>
    <row r="62" spans="1:4" x14ac:dyDescent="0.3">
      <c r="A62" s="8" t="s">
        <v>62</v>
      </c>
      <c r="B62" s="7"/>
      <c r="C62" s="7">
        <v>1</v>
      </c>
      <c r="D62" s="7">
        <v>1</v>
      </c>
    </row>
    <row r="63" spans="1:4" x14ac:dyDescent="0.3">
      <c r="A63" s="8" t="s">
        <v>63</v>
      </c>
      <c r="B63" s="7"/>
      <c r="C63" s="7">
        <v>1</v>
      </c>
      <c r="D63" s="7">
        <v>1</v>
      </c>
    </row>
    <row r="64" spans="1:4" x14ac:dyDescent="0.3">
      <c r="A64" s="8" t="s">
        <v>17</v>
      </c>
      <c r="B64" s="7"/>
      <c r="C64" s="7">
        <v>1</v>
      </c>
      <c r="D64" s="7">
        <v>1</v>
      </c>
    </row>
    <row r="65" spans="1:4" x14ac:dyDescent="0.3">
      <c r="A65" s="11" t="s">
        <v>33</v>
      </c>
      <c r="B65" s="12">
        <v>38</v>
      </c>
      <c r="C65" s="12">
        <v>56</v>
      </c>
      <c r="D65" s="12">
        <v>94</v>
      </c>
    </row>
    <row r="71" spans="1:4" s="13" customFormat="1" x14ac:dyDescent="0.3">
      <c r="A71" s="14"/>
    </row>
    <row r="72" spans="1:4" s="13" customFormat="1" x14ac:dyDescent="0.3">
      <c r="A72" s="14"/>
    </row>
    <row r="73" spans="1:4" ht="21.75" customHeight="1" x14ac:dyDescent="0.3">
      <c r="A73" s="4" t="s">
        <v>32</v>
      </c>
      <c r="B73" t="s">
        <v>35</v>
      </c>
    </row>
    <row r="74" spans="1:4" x14ac:dyDescent="0.3">
      <c r="A74" s="5" t="s">
        <v>12</v>
      </c>
      <c r="B74">
        <v>19</v>
      </c>
    </row>
    <row r="75" spans="1:4" x14ac:dyDescent="0.3">
      <c r="A75" s="5" t="s">
        <v>11</v>
      </c>
      <c r="B75">
        <v>18</v>
      </c>
    </row>
    <row r="76" spans="1:4" x14ac:dyDescent="0.3">
      <c r="A76" s="5" t="s">
        <v>15</v>
      </c>
      <c r="B76">
        <v>17</v>
      </c>
    </row>
    <row r="77" spans="1:4" x14ac:dyDescent="0.3">
      <c r="A77" s="5" t="s">
        <v>53</v>
      </c>
      <c r="B77">
        <v>16</v>
      </c>
    </row>
    <row r="78" spans="1:4" x14ac:dyDescent="0.3">
      <c r="A78" s="5" t="s">
        <v>14</v>
      </c>
      <c r="B78">
        <v>15</v>
      </c>
    </row>
    <row r="79" spans="1:4" x14ac:dyDescent="0.3">
      <c r="A79" s="5" t="s">
        <v>13</v>
      </c>
      <c r="B79">
        <v>4</v>
      </c>
    </row>
    <row r="80" spans="1:4" x14ac:dyDescent="0.3">
      <c r="A80" s="5" t="s">
        <v>16</v>
      </c>
      <c r="B80">
        <v>2</v>
      </c>
    </row>
    <row r="81" spans="1:4" x14ac:dyDescent="0.3">
      <c r="A81" s="5" t="s">
        <v>62</v>
      </c>
      <c r="B81">
        <v>1</v>
      </c>
    </row>
    <row r="82" spans="1:4" x14ac:dyDescent="0.3">
      <c r="A82" s="5" t="s">
        <v>63</v>
      </c>
      <c r="B82">
        <v>1</v>
      </c>
    </row>
    <row r="83" spans="1:4" x14ac:dyDescent="0.3">
      <c r="A83" s="5" t="s">
        <v>17</v>
      </c>
      <c r="B83">
        <v>1</v>
      </c>
    </row>
    <row r="84" spans="1:4" x14ac:dyDescent="0.3">
      <c r="A84" s="5" t="s">
        <v>33</v>
      </c>
      <c r="B84">
        <v>94</v>
      </c>
    </row>
    <row r="91" spans="1:4" ht="21" x14ac:dyDescent="0.4">
      <c r="A91" s="10" t="s">
        <v>37</v>
      </c>
    </row>
    <row r="95" spans="1:4" x14ac:dyDescent="0.3">
      <c r="A95" s="4" t="s">
        <v>38</v>
      </c>
      <c r="B95" s="4" t="s">
        <v>47</v>
      </c>
    </row>
    <row r="96" spans="1:4" x14ac:dyDescent="0.3">
      <c r="A96" s="4" t="s">
        <v>32</v>
      </c>
      <c r="B96" t="s">
        <v>48</v>
      </c>
      <c r="C96" t="s">
        <v>7</v>
      </c>
      <c r="D96" t="s">
        <v>33</v>
      </c>
    </row>
    <row r="97" spans="1:4" x14ac:dyDescent="0.3">
      <c r="A97" s="5" t="s">
        <v>64</v>
      </c>
      <c r="B97">
        <v>1</v>
      </c>
      <c r="C97">
        <v>9</v>
      </c>
      <c r="D97">
        <v>10</v>
      </c>
    </row>
    <row r="98" spans="1:4" x14ac:dyDescent="0.3">
      <c r="A98" s="5" t="s">
        <v>65</v>
      </c>
      <c r="B98">
        <v>5</v>
      </c>
      <c r="C98">
        <v>3</v>
      </c>
      <c r="D98">
        <v>8</v>
      </c>
    </row>
    <row r="99" spans="1:4" x14ac:dyDescent="0.3">
      <c r="A99" s="5" t="s">
        <v>45</v>
      </c>
      <c r="C99">
        <v>2</v>
      </c>
      <c r="D99">
        <v>2</v>
      </c>
    </row>
    <row r="100" spans="1:4" x14ac:dyDescent="0.3">
      <c r="A100" s="5" t="s">
        <v>18</v>
      </c>
      <c r="B100">
        <v>1</v>
      </c>
      <c r="D100">
        <v>1</v>
      </c>
    </row>
    <row r="101" spans="1:4" x14ac:dyDescent="0.3">
      <c r="A101" s="5" t="s">
        <v>33</v>
      </c>
      <c r="B101">
        <v>7</v>
      </c>
      <c r="C101">
        <v>14</v>
      </c>
      <c r="D101">
        <v>21</v>
      </c>
    </row>
    <row r="114" spans="1:2" x14ac:dyDescent="0.3">
      <c r="A114" s="4" t="s">
        <v>32</v>
      </c>
      <c r="B114" t="s">
        <v>38</v>
      </c>
    </row>
    <row r="115" spans="1:2" x14ac:dyDescent="0.3">
      <c r="A115" s="5" t="s">
        <v>46</v>
      </c>
      <c r="B115">
        <v>2</v>
      </c>
    </row>
    <row r="116" spans="1:2" x14ac:dyDescent="0.3">
      <c r="A116" s="5" t="s">
        <v>18</v>
      </c>
      <c r="B116">
        <v>12</v>
      </c>
    </row>
    <row r="117" spans="1:2" x14ac:dyDescent="0.3">
      <c r="A117" s="5" t="s">
        <v>45</v>
      </c>
      <c r="B117">
        <v>17</v>
      </c>
    </row>
    <row r="118" spans="1:2" x14ac:dyDescent="0.3">
      <c r="A118" s="5" t="s">
        <v>54</v>
      </c>
      <c r="B118">
        <v>1</v>
      </c>
    </row>
    <row r="119" spans="1:2" x14ac:dyDescent="0.3">
      <c r="A119" s="5" t="s">
        <v>33</v>
      </c>
      <c r="B119">
        <v>32</v>
      </c>
    </row>
    <row r="132" spans="1:3" ht="21" x14ac:dyDescent="0.4">
      <c r="A132" s="10" t="s">
        <v>39</v>
      </c>
    </row>
    <row r="135" spans="1:3" x14ac:dyDescent="0.3">
      <c r="A135" s="4" t="s">
        <v>40</v>
      </c>
    </row>
    <row r="136" spans="1:3" x14ac:dyDescent="0.3">
      <c r="B136" t="s">
        <v>6</v>
      </c>
      <c r="C136" t="s">
        <v>33</v>
      </c>
    </row>
    <row r="137" spans="1:3" x14ac:dyDescent="0.3">
      <c r="A137" s="5" t="s">
        <v>7</v>
      </c>
      <c r="B137">
        <v>16</v>
      </c>
      <c r="C137">
        <v>16</v>
      </c>
    </row>
    <row r="138" spans="1:3" x14ac:dyDescent="0.3">
      <c r="A138" s="5" t="s">
        <v>8</v>
      </c>
      <c r="B138">
        <v>8</v>
      </c>
      <c r="C138">
        <v>8</v>
      </c>
    </row>
    <row r="139" spans="1:3" x14ac:dyDescent="0.3">
      <c r="A139" s="5" t="s">
        <v>33</v>
      </c>
      <c r="B139">
        <v>24</v>
      </c>
      <c r="C139">
        <v>24</v>
      </c>
    </row>
    <row r="146" spans="1:3" ht="21" x14ac:dyDescent="0.4">
      <c r="A146" s="10" t="s">
        <v>41</v>
      </c>
    </row>
    <row r="149" spans="1:3" x14ac:dyDescent="0.3">
      <c r="A149" s="24" t="s">
        <v>34</v>
      </c>
      <c r="B149" s="7"/>
      <c r="C149" s="32"/>
    </row>
    <row r="150" spans="1:3" x14ac:dyDescent="0.3">
      <c r="A150" s="7"/>
      <c r="B150" s="19" t="s">
        <v>6</v>
      </c>
      <c r="C150" s="19" t="s">
        <v>33</v>
      </c>
    </row>
    <row r="151" spans="1:3" x14ac:dyDescent="0.3">
      <c r="A151" s="8" t="s">
        <v>27</v>
      </c>
      <c r="B151" s="19">
        <v>7</v>
      </c>
      <c r="C151" s="19">
        <v>7</v>
      </c>
    </row>
    <row r="152" spans="1:3" x14ac:dyDescent="0.3">
      <c r="A152" s="8" t="s">
        <v>25</v>
      </c>
      <c r="B152" s="19">
        <v>2</v>
      </c>
      <c r="C152" s="19">
        <v>2</v>
      </c>
    </row>
    <row r="153" spans="1:3" x14ac:dyDescent="0.3">
      <c r="A153" s="8" t="s">
        <v>26</v>
      </c>
      <c r="B153" s="19">
        <v>1</v>
      </c>
      <c r="C153" s="19">
        <v>1</v>
      </c>
    </row>
    <row r="154" spans="1:3" x14ac:dyDescent="0.3">
      <c r="A154" s="8" t="s">
        <v>59</v>
      </c>
      <c r="B154" s="19">
        <v>1</v>
      </c>
      <c r="C154" s="19">
        <v>1</v>
      </c>
    </row>
    <row r="155" spans="1:3" x14ac:dyDescent="0.3">
      <c r="A155" s="8" t="s">
        <v>44</v>
      </c>
      <c r="B155" s="19">
        <v>1</v>
      </c>
      <c r="C155" s="19">
        <v>1</v>
      </c>
    </row>
    <row r="156" spans="1:3" x14ac:dyDescent="0.3">
      <c r="A156" s="8" t="s">
        <v>33</v>
      </c>
      <c r="B156" s="19">
        <v>12</v>
      </c>
      <c r="C156" s="19">
        <v>12</v>
      </c>
    </row>
    <row r="162" spans="1:2" x14ac:dyDescent="0.3">
      <c r="A162" s="4" t="s">
        <v>32</v>
      </c>
      <c r="B162" t="s">
        <v>42</v>
      </c>
    </row>
    <row r="163" spans="1:2" x14ac:dyDescent="0.3">
      <c r="A163" s="5" t="s">
        <v>6</v>
      </c>
      <c r="B163">
        <v>12</v>
      </c>
    </row>
    <row r="164" spans="1:2" x14ac:dyDescent="0.3">
      <c r="A164" s="30" t="s">
        <v>59</v>
      </c>
      <c r="B164">
        <v>1</v>
      </c>
    </row>
    <row r="165" spans="1:2" x14ac:dyDescent="0.3">
      <c r="A165" s="30" t="s">
        <v>27</v>
      </c>
      <c r="B165">
        <v>7</v>
      </c>
    </row>
    <row r="166" spans="1:2" x14ac:dyDescent="0.3">
      <c r="A166" s="30" t="s">
        <v>44</v>
      </c>
      <c r="B166">
        <v>1</v>
      </c>
    </row>
    <row r="167" spans="1:2" x14ac:dyDescent="0.3">
      <c r="A167" s="30" t="s">
        <v>26</v>
      </c>
      <c r="B167">
        <v>1</v>
      </c>
    </row>
    <row r="168" spans="1:2" x14ac:dyDescent="0.3">
      <c r="A168" s="30" t="s">
        <v>25</v>
      </c>
      <c r="B168">
        <v>2</v>
      </c>
    </row>
    <row r="169" spans="1:2" x14ac:dyDescent="0.3">
      <c r="A169" s="5" t="s">
        <v>33</v>
      </c>
      <c r="B169">
        <v>12</v>
      </c>
    </row>
    <row r="177" spans="1:7" x14ac:dyDescent="0.3">
      <c r="A177" t="s">
        <v>57</v>
      </c>
    </row>
    <row r="179" spans="1:7" x14ac:dyDescent="0.3">
      <c r="A179" s="52"/>
      <c r="B179" s="53"/>
      <c r="C179" s="54"/>
    </row>
    <row r="180" spans="1:7" x14ac:dyDescent="0.3">
      <c r="A180" s="55"/>
      <c r="B180" s="56"/>
      <c r="C180" s="57"/>
    </row>
    <row r="181" spans="1:7" x14ac:dyDescent="0.3">
      <c r="A181" s="55"/>
      <c r="B181" s="56"/>
      <c r="C181" s="57"/>
    </row>
    <row r="182" spans="1:7" x14ac:dyDescent="0.3">
      <c r="A182" s="55"/>
      <c r="B182" s="56"/>
      <c r="C182" s="57"/>
    </row>
    <row r="183" spans="1:7" x14ac:dyDescent="0.3">
      <c r="A183" s="55"/>
      <c r="B183" s="56"/>
      <c r="C183" s="57"/>
    </row>
    <row r="184" spans="1:7" x14ac:dyDescent="0.3">
      <c r="A184" s="55"/>
      <c r="B184" s="56"/>
      <c r="C184" s="57"/>
    </row>
    <row r="185" spans="1:7" x14ac:dyDescent="0.3">
      <c r="A185" s="55"/>
      <c r="B185" s="56"/>
      <c r="C185" s="57"/>
    </row>
    <row r="186" spans="1:7" x14ac:dyDescent="0.3">
      <c r="A186" s="55"/>
      <c r="B186" s="56"/>
      <c r="C186" s="57"/>
    </row>
    <row r="187" spans="1:7" x14ac:dyDescent="0.3">
      <c r="A187" s="55"/>
      <c r="B187" s="56"/>
      <c r="C187" s="57"/>
    </row>
    <row r="188" spans="1:7" x14ac:dyDescent="0.3">
      <c r="A188" s="55"/>
      <c r="B188" s="56"/>
      <c r="C188" s="57"/>
    </row>
    <row r="189" spans="1:7" x14ac:dyDescent="0.3">
      <c r="A189" s="55"/>
      <c r="B189" s="56"/>
      <c r="C189" s="57"/>
    </row>
    <row r="190" spans="1:7" ht="15" thickBot="1" x14ac:dyDescent="0.35">
      <c r="A190" s="55"/>
      <c r="B190" s="56"/>
      <c r="C190" s="57"/>
    </row>
    <row r="191" spans="1:7" ht="15" thickBot="1" x14ac:dyDescent="0.35">
      <c r="A191" s="55"/>
      <c r="B191" s="56"/>
      <c r="C191" s="57"/>
      <c r="D191" s="20" t="s">
        <v>10</v>
      </c>
      <c r="E191" s="20" t="s">
        <v>29</v>
      </c>
      <c r="F191" s="20" t="s">
        <v>31</v>
      </c>
      <c r="G191" s="20" t="s">
        <v>33</v>
      </c>
    </row>
    <row r="192" spans="1:7" ht="15" thickBot="1" x14ac:dyDescent="0.35">
      <c r="A192" s="55"/>
      <c r="B192" s="56"/>
      <c r="C192" s="57"/>
      <c r="D192" s="21">
        <v>6</v>
      </c>
      <c r="E192" s="22"/>
      <c r="F192" s="21">
        <v>3</v>
      </c>
      <c r="G192" s="21">
        <f>+SUM(C192:F192)</f>
        <v>9</v>
      </c>
    </row>
    <row r="193" spans="1:7" ht="15" thickBot="1" x14ac:dyDescent="0.35">
      <c r="A193" s="55"/>
      <c r="B193" s="56"/>
      <c r="C193" s="57"/>
      <c r="D193" s="22"/>
      <c r="E193" s="21">
        <v>2</v>
      </c>
      <c r="F193" s="21">
        <v>1</v>
      </c>
      <c r="G193" s="21">
        <f>+SUM(C193:F193)</f>
        <v>3</v>
      </c>
    </row>
    <row r="194" spans="1:7" ht="15" thickBot="1" x14ac:dyDescent="0.35">
      <c r="A194" s="55"/>
      <c r="B194" s="56"/>
      <c r="C194" s="57"/>
      <c r="D194" s="22"/>
      <c r="E194" s="22"/>
      <c r="F194" s="22"/>
      <c r="G194" s="21">
        <f>+SUM(C194:F194)</f>
        <v>0</v>
      </c>
    </row>
    <row r="195" spans="1:7" ht="15" thickBot="1" x14ac:dyDescent="0.35">
      <c r="A195" s="55"/>
      <c r="B195" s="56"/>
      <c r="C195" s="57"/>
      <c r="D195" s="23">
        <f>+SUM(D192:D194)</f>
        <v>6</v>
      </c>
      <c r="E195" s="23">
        <f>+SUM(E192:E194)</f>
        <v>2</v>
      </c>
      <c r="F195" s="23">
        <f>+SUM(F192:F194)</f>
        <v>4</v>
      </c>
      <c r="G195" s="23">
        <f>+SUM(G192:G194)</f>
        <v>12</v>
      </c>
    </row>
    <row r="196" spans="1:7" x14ac:dyDescent="0.3">
      <c r="A196" s="58"/>
      <c r="B196" s="59"/>
      <c r="C196" s="60"/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AE40-1DDC-4019-A558-3CDB14B2F1FB}">
  <dimension ref="A3:H19"/>
  <sheetViews>
    <sheetView topLeftCell="C1" workbookViewId="0">
      <selection activeCell="Q19" sqref="Q19"/>
    </sheetView>
  </sheetViews>
  <sheetFormatPr baseColWidth="10" defaultRowHeight="14.4" x14ac:dyDescent="0.3"/>
  <cols>
    <col min="1" max="1" width="19.5546875" bestFit="1" customWidth="1"/>
    <col min="2" max="2" width="16.109375" bestFit="1" customWidth="1"/>
    <col min="3" max="3" width="5.44140625" bestFit="1" customWidth="1"/>
    <col min="4" max="4" width="7.77734375" bestFit="1" customWidth="1"/>
    <col min="5" max="5" width="3.33203125" bestFit="1" customWidth="1"/>
    <col min="6" max="6" width="5.6640625" bestFit="1" customWidth="1"/>
    <col min="7" max="7" width="8.109375" bestFit="1" customWidth="1"/>
    <col min="8" max="8" width="11.88671875" bestFit="1" customWidth="1"/>
    <col min="9" max="9" width="10.77734375" bestFit="1" customWidth="1"/>
    <col min="10" max="10" width="23.44140625" bestFit="1" customWidth="1"/>
    <col min="11" max="11" width="19.77734375" bestFit="1" customWidth="1"/>
  </cols>
  <sheetData>
    <row r="3" spans="1:8" x14ac:dyDescent="0.3">
      <c r="A3" s="4" t="s">
        <v>362</v>
      </c>
      <c r="B3" s="4" t="s">
        <v>47</v>
      </c>
    </row>
    <row r="4" spans="1:8" x14ac:dyDescent="0.3">
      <c r="A4" s="4" t="s">
        <v>32</v>
      </c>
      <c r="B4" t="s">
        <v>337</v>
      </c>
      <c r="C4" t="s">
        <v>338</v>
      </c>
      <c r="D4" t="s">
        <v>10</v>
      </c>
      <c r="E4" t="s">
        <v>29</v>
      </c>
      <c r="F4" t="s">
        <v>174</v>
      </c>
      <c r="G4" t="s">
        <v>60</v>
      </c>
      <c r="H4" t="s">
        <v>33</v>
      </c>
    </row>
    <row r="5" spans="1:8" x14ac:dyDescent="0.3">
      <c r="A5" s="5" t="s">
        <v>57</v>
      </c>
      <c r="B5" s="36"/>
      <c r="C5" s="36">
        <v>42</v>
      </c>
      <c r="D5" s="36"/>
      <c r="E5" s="36">
        <v>1</v>
      </c>
      <c r="F5" s="36"/>
      <c r="G5" s="36"/>
      <c r="H5" s="36">
        <v>43</v>
      </c>
    </row>
    <row r="6" spans="1:8" x14ac:dyDescent="0.3">
      <c r="A6" s="5" t="s">
        <v>22</v>
      </c>
      <c r="B6" s="36"/>
      <c r="C6" s="36">
        <v>4</v>
      </c>
      <c r="D6" s="36"/>
      <c r="E6" s="36"/>
      <c r="F6" s="36"/>
      <c r="G6" s="36"/>
      <c r="H6" s="36">
        <v>4</v>
      </c>
    </row>
    <row r="7" spans="1:8" x14ac:dyDescent="0.3">
      <c r="A7" s="5" t="s">
        <v>158</v>
      </c>
      <c r="B7" s="36"/>
      <c r="C7" s="36">
        <v>1</v>
      </c>
      <c r="D7" s="36"/>
      <c r="E7" s="36">
        <v>3</v>
      </c>
      <c r="F7" s="36">
        <v>1</v>
      </c>
      <c r="G7" s="36"/>
      <c r="H7" s="36">
        <v>5</v>
      </c>
    </row>
    <row r="8" spans="1:8" x14ac:dyDescent="0.3">
      <c r="A8" s="5" t="s">
        <v>157</v>
      </c>
      <c r="B8" s="36">
        <v>2</v>
      </c>
      <c r="C8" s="36">
        <v>19</v>
      </c>
      <c r="D8" s="36">
        <v>4</v>
      </c>
      <c r="E8" s="36"/>
      <c r="F8" s="36">
        <v>4</v>
      </c>
      <c r="G8" s="36">
        <v>20</v>
      </c>
      <c r="H8" s="36">
        <v>49</v>
      </c>
    </row>
    <row r="9" spans="1:8" x14ac:dyDescent="0.3">
      <c r="A9" s="5" t="s">
        <v>33</v>
      </c>
      <c r="B9" s="36">
        <v>2</v>
      </c>
      <c r="C9" s="36">
        <v>66</v>
      </c>
      <c r="D9" s="36">
        <v>4</v>
      </c>
      <c r="E9" s="36">
        <v>4</v>
      </c>
      <c r="F9" s="36">
        <v>5</v>
      </c>
      <c r="G9" s="36">
        <v>20</v>
      </c>
      <c r="H9" s="36">
        <v>101</v>
      </c>
    </row>
    <row r="16" spans="1:8" x14ac:dyDescent="0.3">
      <c r="A16" s="4" t="s">
        <v>32</v>
      </c>
      <c r="B16" t="s">
        <v>363</v>
      </c>
    </row>
    <row r="17" spans="1:2" x14ac:dyDescent="0.3">
      <c r="A17" s="5" t="s">
        <v>158</v>
      </c>
      <c r="B17" s="36">
        <v>9</v>
      </c>
    </row>
    <row r="18" spans="1:2" x14ac:dyDescent="0.3">
      <c r="A18" s="5" t="s">
        <v>157</v>
      </c>
      <c r="B18" s="36">
        <v>43</v>
      </c>
    </row>
    <row r="19" spans="1:2" x14ac:dyDescent="0.3">
      <c r="A19" s="5" t="s">
        <v>33</v>
      </c>
      <c r="B19" s="36">
        <v>52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theme="4" tint="0.59999389629810485"/>
    <pageSetUpPr fitToPage="1"/>
  </sheetPr>
  <dimension ref="A1:N105"/>
  <sheetViews>
    <sheetView showWhiteSpace="0" view="pageBreakPreview" zoomScale="66" zoomScaleNormal="80" zoomScaleSheetLayoutView="66" workbookViewId="0">
      <selection activeCell="A85" sqref="A85:J101"/>
    </sheetView>
  </sheetViews>
  <sheetFormatPr baseColWidth="10" defaultColWidth="10.77734375" defaultRowHeight="14.4" x14ac:dyDescent="0.3"/>
  <cols>
    <col min="1" max="1" width="30.88671875" customWidth="1"/>
    <col min="2" max="2" width="22.109375" bestFit="1" customWidth="1"/>
    <col min="3" max="3" width="16.77734375" bestFit="1" customWidth="1"/>
    <col min="4" max="4" width="57.33203125" bestFit="1" customWidth="1"/>
    <col min="5" max="5" width="29.33203125" customWidth="1"/>
    <col min="6" max="6" width="56.44140625" hidden="1" customWidth="1"/>
    <col min="7" max="7" width="12.88671875" customWidth="1"/>
    <col min="8" max="8" width="19.5546875" hidden="1" customWidth="1"/>
    <col min="9" max="9" width="29" bestFit="1" customWidth="1"/>
    <col min="10" max="10" width="32.44140625" bestFit="1" customWidth="1"/>
    <col min="11" max="11" width="21.6640625" hidden="1" customWidth="1"/>
    <col min="12" max="12" width="22.109375" hidden="1" customWidth="1"/>
    <col min="13" max="13" width="19.44140625" hidden="1" customWidth="1"/>
    <col min="14" max="14" width="24" hidden="1" customWidth="1"/>
  </cols>
  <sheetData>
    <row r="1" spans="1:14" s="37" customFormat="1" ht="30" customHeight="1" x14ac:dyDescent="0.3">
      <c r="A1" s="61"/>
      <c r="B1" s="61"/>
      <c r="C1" s="61"/>
      <c r="D1" s="40" t="s">
        <v>346</v>
      </c>
      <c r="E1" s="61"/>
      <c r="F1" s="61" t="s">
        <v>346</v>
      </c>
      <c r="G1" s="61"/>
      <c r="H1" s="61"/>
      <c r="I1" s="61"/>
      <c r="J1" s="61"/>
      <c r="K1" s="61"/>
      <c r="L1" s="61"/>
      <c r="M1" s="61"/>
      <c r="N1" s="61"/>
    </row>
    <row r="2" spans="1:14" s="37" customFormat="1" ht="30" customHeight="1" x14ac:dyDescent="0.3">
      <c r="A2" s="61"/>
      <c r="B2" s="61"/>
      <c r="C2" s="61"/>
      <c r="D2" s="40" t="s">
        <v>347</v>
      </c>
      <c r="E2" s="61"/>
      <c r="F2" s="61" t="s">
        <v>347</v>
      </c>
      <c r="G2" s="61"/>
      <c r="H2" s="61"/>
      <c r="I2" s="61"/>
      <c r="J2" s="61"/>
      <c r="K2" s="61"/>
      <c r="L2" s="61"/>
      <c r="M2" s="61"/>
      <c r="N2" s="61"/>
    </row>
    <row r="3" spans="1:14" s="37" customFormat="1" ht="30" customHeight="1" x14ac:dyDescent="0.3">
      <c r="A3" s="61"/>
      <c r="B3" s="61"/>
      <c r="C3" s="61"/>
      <c r="D3" s="40" t="s">
        <v>360</v>
      </c>
      <c r="E3" s="61"/>
      <c r="F3" s="61" t="s">
        <v>348</v>
      </c>
      <c r="G3" s="61"/>
      <c r="H3" s="61"/>
      <c r="I3" s="61"/>
      <c r="J3" s="61"/>
      <c r="K3" s="61"/>
      <c r="L3" s="61"/>
      <c r="M3" s="61"/>
      <c r="N3" s="61"/>
    </row>
    <row r="4" spans="1:14" s="37" customFormat="1" ht="30" customHeight="1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18.600000000000001" thickBot="1" x14ac:dyDescent="0.4">
      <c r="A5" s="51" t="s">
        <v>351</v>
      </c>
    </row>
    <row r="6" spans="1:14" s="2" customFormat="1" ht="28.5" customHeight="1" thickBot="1" x14ac:dyDescent="0.35">
      <c r="A6" s="3" t="s">
        <v>0</v>
      </c>
      <c r="B6" s="3" t="s">
        <v>24</v>
      </c>
      <c r="C6" s="3" t="s">
        <v>30</v>
      </c>
      <c r="D6" s="3" t="s">
        <v>1</v>
      </c>
      <c r="E6" s="3" t="s">
        <v>2</v>
      </c>
      <c r="F6" s="3" t="s">
        <v>224</v>
      </c>
      <c r="G6" s="3" t="s">
        <v>3</v>
      </c>
      <c r="H6" s="3" t="s">
        <v>78</v>
      </c>
      <c r="I6" s="18" t="s">
        <v>4</v>
      </c>
      <c r="J6" s="18" t="s">
        <v>5</v>
      </c>
      <c r="K6" s="25" t="s">
        <v>253</v>
      </c>
      <c r="L6" s="25" t="s">
        <v>67</v>
      </c>
      <c r="M6" s="25" t="s">
        <v>252</v>
      </c>
      <c r="N6" s="35" t="s">
        <v>251</v>
      </c>
    </row>
    <row r="7" spans="1:14" s="13" customFormat="1" ht="30" customHeight="1" thickBot="1" x14ac:dyDescent="0.35">
      <c r="A7" s="33" t="s">
        <v>147</v>
      </c>
      <c r="B7" s="33" t="s">
        <v>157</v>
      </c>
      <c r="C7" s="33" t="s">
        <v>337</v>
      </c>
      <c r="D7" s="33" t="s">
        <v>172</v>
      </c>
      <c r="E7" s="33" t="s">
        <v>176</v>
      </c>
      <c r="F7" s="33"/>
      <c r="G7" s="33" t="s">
        <v>50</v>
      </c>
      <c r="H7" s="33"/>
      <c r="I7" s="33" t="s">
        <v>254</v>
      </c>
      <c r="J7" s="33" t="s">
        <v>212</v>
      </c>
      <c r="K7" s="34"/>
      <c r="L7" s="34"/>
      <c r="M7" s="34"/>
      <c r="N7" s="34"/>
    </row>
    <row r="8" spans="1:14" s="13" customFormat="1" ht="30" customHeight="1" thickBot="1" x14ac:dyDescent="0.35">
      <c r="A8" s="33" t="s">
        <v>147</v>
      </c>
      <c r="B8" s="33" t="s">
        <v>157</v>
      </c>
      <c r="C8" s="33" t="s">
        <v>337</v>
      </c>
      <c r="D8" s="33" t="s">
        <v>172</v>
      </c>
      <c r="E8" s="33" t="s">
        <v>176</v>
      </c>
      <c r="F8" s="33" t="s">
        <v>274</v>
      </c>
      <c r="G8" s="33" t="s">
        <v>50</v>
      </c>
      <c r="H8" s="33" t="s">
        <v>307</v>
      </c>
      <c r="I8" s="33" t="s">
        <v>254</v>
      </c>
      <c r="J8" s="33" t="s">
        <v>213</v>
      </c>
      <c r="K8" s="33" t="s">
        <v>256</v>
      </c>
      <c r="L8" s="33" t="s">
        <v>256</v>
      </c>
      <c r="M8" s="33" t="s">
        <v>256</v>
      </c>
      <c r="N8" s="33" t="s">
        <v>256</v>
      </c>
    </row>
    <row r="9" spans="1:14" s="13" customFormat="1" ht="30" customHeight="1" thickBot="1" x14ac:dyDescent="0.35">
      <c r="A9" s="33" t="s">
        <v>149</v>
      </c>
      <c r="B9" s="33" t="s">
        <v>157</v>
      </c>
      <c r="C9" s="33" t="s">
        <v>338</v>
      </c>
      <c r="D9" s="33" t="s">
        <v>74</v>
      </c>
      <c r="E9" s="33" t="s">
        <v>94</v>
      </c>
      <c r="F9" s="33" t="s">
        <v>76</v>
      </c>
      <c r="G9" s="33" t="s">
        <v>50</v>
      </c>
      <c r="H9" s="33" t="s">
        <v>101</v>
      </c>
      <c r="I9" s="33" t="s">
        <v>71</v>
      </c>
      <c r="J9" s="33" t="s">
        <v>102</v>
      </c>
      <c r="K9" s="33" t="s">
        <v>72</v>
      </c>
      <c r="L9" s="33" t="s">
        <v>72</v>
      </c>
      <c r="M9" s="33" t="s">
        <v>72</v>
      </c>
      <c r="N9" s="33" t="s">
        <v>72</v>
      </c>
    </row>
    <row r="10" spans="1:14" s="13" customFormat="1" ht="30" customHeight="1" thickBot="1" x14ac:dyDescent="0.35">
      <c r="A10" s="33" t="s">
        <v>154</v>
      </c>
      <c r="B10" s="33" t="s">
        <v>157</v>
      </c>
      <c r="C10" s="33" t="s">
        <v>338</v>
      </c>
      <c r="D10" s="33" t="s">
        <v>74</v>
      </c>
      <c r="E10" s="33" t="s">
        <v>51</v>
      </c>
      <c r="F10" s="33" t="s">
        <v>76</v>
      </c>
      <c r="G10" s="33" t="s">
        <v>50</v>
      </c>
      <c r="H10" s="33" t="s">
        <v>77</v>
      </c>
      <c r="I10" s="33" t="s">
        <v>71</v>
      </c>
      <c r="J10" s="33" t="s">
        <v>56</v>
      </c>
      <c r="K10" s="33" t="s">
        <v>72</v>
      </c>
      <c r="L10" s="33" t="s">
        <v>82</v>
      </c>
      <c r="M10" s="33" t="s">
        <v>72</v>
      </c>
      <c r="N10" s="33" t="s">
        <v>72</v>
      </c>
    </row>
    <row r="11" spans="1:14" s="13" customFormat="1" ht="30" customHeight="1" thickBot="1" x14ac:dyDescent="0.35">
      <c r="A11" s="33" t="s">
        <v>106</v>
      </c>
      <c r="B11" s="33" t="s">
        <v>157</v>
      </c>
      <c r="C11" s="33" t="s">
        <v>60</v>
      </c>
      <c r="D11" s="33" t="s">
        <v>161</v>
      </c>
      <c r="E11" s="33" t="s">
        <v>177</v>
      </c>
      <c r="F11" s="33" t="s">
        <v>264</v>
      </c>
      <c r="G11" s="33" t="s">
        <v>49</v>
      </c>
      <c r="H11" s="33" t="s">
        <v>265</v>
      </c>
      <c r="I11" s="33" t="s">
        <v>266</v>
      </c>
      <c r="J11" s="33" t="s">
        <v>188</v>
      </c>
      <c r="K11" s="33" t="s">
        <v>256</v>
      </c>
      <c r="L11" s="33" t="s">
        <v>256</v>
      </c>
      <c r="M11" s="33" t="s">
        <v>256</v>
      </c>
      <c r="N11" s="33" t="s">
        <v>256</v>
      </c>
    </row>
    <row r="12" spans="1:14" s="13" customFormat="1" ht="30" customHeight="1" thickBot="1" x14ac:dyDescent="0.35">
      <c r="A12" s="33" t="s">
        <v>153</v>
      </c>
      <c r="B12" s="33" t="s">
        <v>157</v>
      </c>
      <c r="C12" s="33" t="s">
        <v>60</v>
      </c>
      <c r="D12" s="33" t="s">
        <v>160</v>
      </c>
      <c r="E12" s="33" t="s">
        <v>177</v>
      </c>
      <c r="F12" s="33" t="s">
        <v>285</v>
      </c>
      <c r="G12" s="33" t="s">
        <v>49</v>
      </c>
      <c r="H12" s="33" t="s">
        <v>286</v>
      </c>
      <c r="I12" s="33" t="s">
        <v>287</v>
      </c>
      <c r="J12" s="33" t="s">
        <v>288</v>
      </c>
      <c r="K12" s="33" t="s">
        <v>256</v>
      </c>
      <c r="L12" s="33" t="s">
        <v>256</v>
      </c>
      <c r="M12" s="33" t="s">
        <v>256</v>
      </c>
      <c r="N12" s="33" t="s">
        <v>256</v>
      </c>
    </row>
    <row r="13" spans="1:14" s="13" customFormat="1" ht="30" customHeight="1" thickBot="1" x14ac:dyDescent="0.35">
      <c r="A13" s="33" t="s">
        <v>100</v>
      </c>
      <c r="B13" s="33" t="s">
        <v>158</v>
      </c>
      <c r="C13" s="33" t="s">
        <v>174</v>
      </c>
      <c r="D13" s="33" t="s">
        <v>174</v>
      </c>
      <c r="E13" s="33" t="s">
        <v>178</v>
      </c>
      <c r="F13" s="33" t="s">
        <v>95</v>
      </c>
      <c r="G13" s="33" t="s">
        <v>50</v>
      </c>
      <c r="H13" s="33" t="s">
        <v>305</v>
      </c>
      <c r="I13" s="33" t="s">
        <v>304</v>
      </c>
      <c r="J13" s="33" t="s">
        <v>219</v>
      </c>
      <c r="K13" s="33" t="s">
        <v>256</v>
      </c>
      <c r="L13" s="33" t="s">
        <v>256</v>
      </c>
      <c r="M13" s="33" t="s">
        <v>256</v>
      </c>
      <c r="N13" s="33" t="s">
        <v>256</v>
      </c>
    </row>
    <row r="14" spans="1:14" s="13" customFormat="1" ht="30" customHeight="1" thickBot="1" x14ac:dyDescent="0.35">
      <c r="A14" s="33" t="s">
        <v>9</v>
      </c>
      <c r="B14" s="33" t="s">
        <v>157</v>
      </c>
      <c r="C14" s="33" t="s">
        <v>60</v>
      </c>
      <c r="D14" s="33" t="s">
        <v>168</v>
      </c>
      <c r="E14" s="33" t="s">
        <v>177</v>
      </c>
      <c r="F14" s="33" t="s">
        <v>264</v>
      </c>
      <c r="G14" s="33" t="s">
        <v>49</v>
      </c>
      <c r="H14" s="33" t="s">
        <v>267</v>
      </c>
      <c r="I14" s="33" t="s">
        <v>266</v>
      </c>
      <c r="J14" s="33" t="s">
        <v>207</v>
      </c>
      <c r="K14" s="33" t="s">
        <v>256</v>
      </c>
      <c r="L14" s="33" t="s">
        <v>256</v>
      </c>
      <c r="M14" s="33" t="s">
        <v>256</v>
      </c>
      <c r="N14" s="33" t="s">
        <v>256</v>
      </c>
    </row>
    <row r="15" spans="1:14" s="13" customFormat="1" ht="30" customHeight="1" thickBot="1" x14ac:dyDescent="0.35">
      <c r="A15" s="33" t="s">
        <v>124</v>
      </c>
      <c r="B15" s="33" t="s">
        <v>157</v>
      </c>
      <c r="C15" s="33" t="s">
        <v>338</v>
      </c>
      <c r="D15" s="33" t="s">
        <v>164</v>
      </c>
      <c r="E15" s="33" t="s">
        <v>176</v>
      </c>
      <c r="F15" s="33"/>
      <c r="G15" s="33" t="s">
        <v>49</v>
      </c>
      <c r="H15" s="33"/>
      <c r="I15" s="33"/>
      <c r="J15" s="33" t="s">
        <v>191</v>
      </c>
      <c r="K15" s="31"/>
      <c r="L15" s="31"/>
      <c r="M15" s="31"/>
      <c r="N15" s="33"/>
    </row>
    <row r="16" spans="1:14" s="13" customFormat="1" ht="30" customHeight="1" thickBot="1" x14ac:dyDescent="0.35">
      <c r="A16" s="33" t="s">
        <v>133</v>
      </c>
      <c r="B16" s="33" t="s">
        <v>157</v>
      </c>
      <c r="C16" s="33" t="s">
        <v>338</v>
      </c>
      <c r="D16" s="33" t="s">
        <v>281</v>
      </c>
      <c r="E16" s="33" t="s">
        <v>177</v>
      </c>
      <c r="F16" s="33" t="s">
        <v>258</v>
      </c>
      <c r="G16" s="33" t="s">
        <v>250</v>
      </c>
      <c r="H16" s="33" t="s">
        <v>259</v>
      </c>
      <c r="I16" s="33" t="s">
        <v>257</v>
      </c>
      <c r="J16" s="33" t="s">
        <v>199</v>
      </c>
      <c r="K16" s="33" t="s">
        <v>256</v>
      </c>
      <c r="L16" s="33" t="s">
        <v>256</v>
      </c>
      <c r="M16" s="33" t="s">
        <v>256</v>
      </c>
      <c r="N16" s="33" t="s">
        <v>256</v>
      </c>
    </row>
    <row r="17" spans="1:14" s="13" customFormat="1" ht="30" customHeight="1" thickBot="1" x14ac:dyDescent="0.35">
      <c r="A17" s="31" t="s">
        <v>139</v>
      </c>
      <c r="B17" s="33" t="s">
        <v>157</v>
      </c>
      <c r="C17" s="31" t="s">
        <v>60</v>
      </c>
      <c r="D17" s="31" t="s">
        <v>93</v>
      </c>
      <c r="E17" s="33" t="s">
        <v>94</v>
      </c>
      <c r="F17" s="31" t="s">
        <v>95</v>
      </c>
      <c r="G17" s="33" t="s">
        <v>49</v>
      </c>
      <c r="H17" s="33" t="s">
        <v>96</v>
      </c>
      <c r="I17" s="33" t="s">
        <v>97</v>
      </c>
      <c r="J17" s="31" t="s">
        <v>98</v>
      </c>
      <c r="K17" s="31" t="s">
        <v>72</v>
      </c>
      <c r="L17" s="31" t="s">
        <v>72</v>
      </c>
      <c r="M17" s="31" t="s">
        <v>72</v>
      </c>
      <c r="N17" s="33" t="s">
        <v>72</v>
      </c>
    </row>
    <row r="18" spans="1:14" s="13" customFormat="1" ht="30" customHeight="1" thickBot="1" x14ac:dyDescent="0.35">
      <c r="A18" s="31" t="s">
        <v>144</v>
      </c>
      <c r="B18" s="33" t="s">
        <v>157</v>
      </c>
      <c r="C18" s="31" t="s">
        <v>60</v>
      </c>
      <c r="D18" s="31" t="s">
        <v>93</v>
      </c>
      <c r="E18" s="33" t="s">
        <v>51</v>
      </c>
      <c r="F18" s="31" t="s">
        <v>95</v>
      </c>
      <c r="G18" s="33" t="s">
        <v>49</v>
      </c>
      <c r="H18" s="33" t="s">
        <v>114</v>
      </c>
      <c r="I18" s="33" t="s">
        <v>109</v>
      </c>
      <c r="J18" s="31" t="s">
        <v>110</v>
      </c>
      <c r="K18" s="31" t="s">
        <v>113</v>
      </c>
      <c r="L18" s="31" t="s">
        <v>72</v>
      </c>
      <c r="M18" s="31" t="s">
        <v>72</v>
      </c>
      <c r="N18" s="33" t="s">
        <v>72</v>
      </c>
    </row>
    <row r="19" spans="1:14" s="13" customFormat="1" ht="30" customHeight="1" thickBot="1" x14ac:dyDescent="0.35">
      <c r="A19" s="31" t="s">
        <v>132</v>
      </c>
      <c r="B19" s="33" t="s">
        <v>157</v>
      </c>
      <c r="C19" s="31" t="s">
        <v>10</v>
      </c>
      <c r="D19" s="31" t="s">
        <v>167</v>
      </c>
      <c r="E19" s="33" t="s">
        <v>176</v>
      </c>
      <c r="F19" s="31"/>
      <c r="G19" s="33" t="s">
        <v>50</v>
      </c>
      <c r="H19" s="33"/>
      <c r="I19" s="33"/>
      <c r="J19" s="31" t="s">
        <v>205</v>
      </c>
      <c r="K19" s="31"/>
      <c r="L19" s="31"/>
      <c r="M19" s="31"/>
      <c r="N19" s="33"/>
    </row>
    <row r="20" spans="1:14" s="13" customFormat="1" ht="30" customHeight="1" thickBot="1" x14ac:dyDescent="0.35">
      <c r="A20" s="31" t="s">
        <v>9</v>
      </c>
      <c r="B20" s="33" t="s">
        <v>157</v>
      </c>
      <c r="C20" s="31" t="s">
        <v>10</v>
      </c>
      <c r="D20" s="31" t="s">
        <v>167</v>
      </c>
      <c r="E20" s="33" t="s">
        <v>176</v>
      </c>
      <c r="F20" s="31"/>
      <c r="G20" s="33" t="s">
        <v>50</v>
      </c>
      <c r="H20" s="33"/>
      <c r="I20" s="33"/>
      <c r="J20" s="31" t="s">
        <v>206</v>
      </c>
      <c r="K20" s="31"/>
      <c r="L20" s="31"/>
      <c r="M20" s="31"/>
      <c r="N20" s="33"/>
    </row>
    <row r="21" spans="1:14" s="13" customFormat="1" ht="30" customHeight="1" thickBot="1" x14ac:dyDescent="0.35">
      <c r="A21" s="31" t="s">
        <v>143</v>
      </c>
      <c r="B21" s="33" t="s">
        <v>157</v>
      </c>
      <c r="C21" s="31" t="s">
        <v>174</v>
      </c>
      <c r="D21" s="31" t="s">
        <v>169</v>
      </c>
      <c r="E21" s="33" t="s">
        <v>178</v>
      </c>
      <c r="F21" s="31" t="s">
        <v>79</v>
      </c>
      <c r="G21" s="33" t="s">
        <v>49</v>
      </c>
      <c r="H21" s="33" t="s">
        <v>306</v>
      </c>
      <c r="I21" s="33" t="s">
        <v>304</v>
      </c>
      <c r="J21" s="31" t="s">
        <v>208</v>
      </c>
      <c r="K21" s="31" t="s">
        <v>256</v>
      </c>
      <c r="L21" s="31"/>
      <c r="M21" s="31"/>
      <c r="N21" s="33"/>
    </row>
    <row r="22" spans="1:14" s="13" customFormat="1" ht="30" customHeight="1" thickBot="1" x14ac:dyDescent="0.35">
      <c r="A22" s="31" t="s">
        <v>129</v>
      </c>
      <c r="B22" s="33" t="s">
        <v>157</v>
      </c>
      <c r="C22" s="31" t="s">
        <v>174</v>
      </c>
      <c r="D22" s="31" t="s">
        <v>170</v>
      </c>
      <c r="E22" s="33" t="s">
        <v>178</v>
      </c>
      <c r="F22" s="31"/>
      <c r="G22" s="33" t="s">
        <v>50</v>
      </c>
      <c r="H22" s="31"/>
      <c r="I22" s="31"/>
      <c r="J22" s="31" t="s">
        <v>210</v>
      </c>
      <c r="K22" s="31" t="s">
        <v>256</v>
      </c>
      <c r="L22" s="31"/>
      <c r="M22" s="31"/>
      <c r="N22" s="33"/>
    </row>
    <row r="23" spans="1:14" s="13" customFormat="1" ht="30" customHeight="1" thickBot="1" x14ac:dyDescent="0.35">
      <c r="A23" s="33" t="s">
        <v>127</v>
      </c>
      <c r="B23" s="33" t="s">
        <v>157</v>
      </c>
      <c r="C23" s="31" t="s">
        <v>174</v>
      </c>
      <c r="D23" s="31" t="s">
        <v>170</v>
      </c>
      <c r="E23" s="31" t="s">
        <v>178</v>
      </c>
      <c r="F23" s="31"/>
      <c r="G23" s="33" t="s">
        <v>49</v>
      </c>
      <c r="H23" s="31"/>
      <c r="I23" s="31"/>
      <c r="J23" s="31" t="s">
        <v>209</v>
      </c>
      <c r="K23" s="31" t="s">
        <v>256</v>
      </c>
      <c r="L23" s="31"/>
      <c r="M23" s="31"/>
      <c r="N23" s="33"/>
    </row>
    <row r="24" spans="1:14" s="13" customFormat="1" ht="30.75" customHeight="1" thickBot="1" x14ac:dyDescent="0.35">
      <c r="A24" s="31" t="s">
        <v>151</v>
      </c>
      <c r="B24" s="33" t="s">
        <v>157</v>
      </c>
      <c r="C24" s="33" t="s">
        <v>174</v>
      </c>
      <c r="D24" s="33" t="s">
        <v>159</v>
      </c>
      <c r="E24" s="31" t="s">
        <v>176</v>
      </c>
      <c r="F24" s="33"/>
      <c r="G24" s="33" t="s">
        <v>49</v>
      </c>
      <c r="H24" s="31"/>
      <c r="I24" s="31"/>
      <c r="J24" s="33" t="s">
        <v>180</v>
      </c>
      <c r="K24" s="33" t="s">
        <v>256</v>
      </c>
      <c r="L24" s="33"/>
      <c r="M24" s="33"/>
      <c r="N24" s="33"/>
    </row>
    <row r="25" spans="1:14" s="13" customFormat="1" ht="30.75" customHeight="1" thickBot="1" x14ac:dyDescent="0.35">
      <c r="A25" s="31" t="s">
        <v>135</v>
      </c>
      <c r="B25" s="33" t="s">
        <v>158</v>
      </c>
      <c r="C25" s="33" t="s">
        <v>338</v>
      </c>
      <c r="D25" s="33" t="s">
        <v>173</v>
      </c>
      <c r="E25" s="31" t="s">
        <v>176</v>
      </c>
      <c r="F25" s="33"/>
      <c r="G25" s="33" t="s">
        <v>50</v>
      </c>
      <c r="H25" s="31"/>
      <c r="I25" s="31"/>
      <c r="J25" s="33" t="s">
        <v>215</v>
      </c>
      <c r="K25" s="33"/>
      <c r="L25" s="33"/>
      <c r="M25" s="33"/>
      <c r="N25" s="33"/>
    </row>
    <row r="26" spans="1:14" s="13" customFormat="1" ht="30.75" customHeight="1" thickBot="1" x14ac:dyDescent="0.35">
      <c r="A26" s="31" t="s">
        <v>116</v>
      </c>
      <c r="B26" s="33" t="s">
        <v>157</v>
      </c>
      <c r="C26" s="33" t="s">
        <v>60</v>
      </c>
      <c r="D26" s="33" t="s">
        <v>289</v>
      </c>
      <c r="E26" s="31" t="s">
        <v>177</v>
      </c>
      <c r="F26" s="33" t="s">
        <v>285</v>
      </c>
      <c r="G26" s="33" t="s">
        <v>49</v>
      </c>
      <c r="H26" s="31" t="s">
        <v>290</v>
      </c>
      <c r="I26" s="31" t="s">
        <v>287</v>
      </c>
      <c r="J26" s="33" t="s">
        <v>291</v>
      </c>
      <c r="K26" s="33" t="s">
        <v>256</v>
      </c>
      <c r="L26" s="33" t="s">
        <v>256</v>
      </c>
      <c r="M26" s="33" t="s">
        <v>256</v>
      </c>
      <c r="N26" s="33" t="s">
        <v>256</v>
      </c>
    </row>
    <row r="27" spans="1:14" s="13" customFormat="1" ht="30.75" customHeight="1" thickBot="1" x14ac:dyDescent="0.35">
      <c r="A27" s="31" t="s">
        <v>148</v>
      </c>
      <c r="B27" s="33" t="s">
        <v>157</v>
      </c>
      <c r="C27" s="33" t="s">
        <v>60</v>
      </c>
      <c r="D27" s="33" t="s">
        <v>289</v>
      </c>
      <c r="E27" s="31" t="s">
        <v>177</v>
      </c>
      <c r="F27" s="33" t="s">
        <v>264</v>
      </c>
      <c r="G27" s="33" t="s">
        <v>49</v>
      </c>
      <c r="H27" s="31" t="s">
        <v>293</v>
      </c>
      <c r="I27" s="31" t="s">
        <v>287</v>
      </c>
      <c r="J27" s="33"/>
      <c r="K27" s="33" t="s">
        <v>256</v>
      </c>
      <c r="L27" s="33" t="s">
        <v>256</v>
      </c>
      <c r="M27" s="33" t="s">
        <v>256</v>
      </c>
      <c r="N27" s="33" t="s">
        <v>256</v>
      </c>
    </row>
    <row r="28" spans="1:14" s="13" customFormat="1" ht="30.75" customHeight="1" thickBot="1" x14ac:dyDescent="0.35">
      <c r="A28" s="31" t="s">
        <v>355</v>
      </c>
      <c r="B28" s="33" t="s">
        <v>157</v>
      </c>
      <c r="C28" s="33" t="s">
        <v>338</v>
      </c>
      <c r="D28" s="33" t="s">
        <v>164</v>
      </c>
      <c r="E28" s="31" t="s">
        <v>177</v>
      </c>
      <c r="F28" s="33" t="s">
        <v>95</v>
      </c>
      <c r="G28" s="33" t="s">
        <v>49</v>
      </c>
      <c r="H28" s="31" t="s">
        <v>255</v>
      </c>
      <c r="I28" s="31" t="s">
        <v>254</v>
      </c>
      <c r="J28" s="33" t="s">
        <v>192</v>
      </c>
      <c r="K28" s="33" t="s">
        <v>256</v>
      </c>
      <c r="L28" s="33" t="s">
        <v>256</v>
      </c>
      <c r="M28" s="33" t="s">
        <v>256</v>
      </c>
      <c r="N28" s="33" t="s">
        <v>256</v>
      </c>
    </row>
    <row r="29" spans="1:14" s="13" customFormat="1" ht="30.75" customHeight="1" thickBot="1" x14ac:dyDescent="0.35">
      <c r="A29" s="31" t="s">
        <v>108</v>
      </c>
      <c r="B29" s="33" t="s">
        <v>157</v>
      </c>
      <c r="C29" s="33" t="s">
        <v>338</v>
      </c>
      <c r="D29" s="33" t="s">
        <v>69</v>
      </c>
      <c r="E29" s="31" t="s">
        <v>177</v>
      </c>
      <c r="F29" s="33" t="s">
        <v>76</v>
      </c>
      <c r="G29" s="33" t="s">
        <v>49</v>
      </c>
      <c r="H29" s="31" t="s">
        <v>70</v>
      </c>
      <c r="I29" s="31" t="s">
        <v>71</v>
      </c>
      <c r="J29" s="33" t="s">
        <v>52</v>
      </c>
      <c r="K29" s="33" t="s">
        <v>72</v>
      </c>
      <c r="L29" s="33" t="s">
        <v>6</v>
      </c>
      <c r="M29" s="33" t="s">
        <v>72</v>
      </c>
      <c r="N29" s="33" t="s">
        <v>72</v>
      </c>
    </row>
    <row r="30" spans="1:14" s="13" customFormat="1" ht="30.75" customHeight="1" thickBot="1" x14ac:dyDescent="0.35">
      <c r="A30" s="31" t="s">
        <v>141</v>
      </c>
      <c r="B30" s="33" t="s">
        <v>157</v>
      </c>
      <c r="C30" s="33" t="s">
        <v>338</v>
      </c>
      <c r="D30" s="33" t="s">
        <v>92</v>
      </c>
      <c r="E30" s="31" t="s">
        <v>177</v>
      </c>
      <c r="F30" s="33" t="s">
        <v>76</v>
      </c>
      <c r="G30" s="33" t="s">
        <v>49</v>
      </c>
      <c r="H30" s="31" t="s">
        <v>86</v>
      </c>
      <c r="I30" s="31" t="s">
        <v>85</v>
      </c>
      <c r="J30" s="33" t="s">
        <v>84</v>
      </c>
      <c r="K30" s="33" t="s">
        <v>72</v>
      </c>
      <c r="L30" s="33" t="s">
        <v>82</v>
      </c>
      <c r="M30" s="33" t="s">
        <v>72</v>
      </c>
      <c r="N30" s="33" t="s">
        <v>72</v>
      </c>
    </row>
    <row r="31" spans="1:14" s="13" customFormat="1" ht="30.75" customHeight="1" thickBot="1" x14ac:dyDescent="0.35">
      <c r="A31" s="31" t="s">
        <v>142</v>
      </c>
      <c r="B31" s="33" t="s">
        <v>158</v>
      </c>
      <c r="C31" s="33" t="s">
        <v>29</v>
      </c>
      <c r="D31" s="33" t="s">
        <v>171</v>
      </c>
      <c r="E31" s="31" t="s">
        <v>177</v>
      </c>
      <c r="F31" s="33"/>
      <c r="G31" s="33" t="s">
        <v>50</v>
      </c>
      <c r="H31" s="31"/>
      <c r="I31" s="31"/>
      <c r="J31" s="33" t="s">
        <v>217</v>
      </c>
      <c r="K31" s="33"/>
      <c r="L31" s="33"/>
      <c r="M31" s="33"/>
      <c r="N31" s="33"/>
    </row>
    <row r="32" spans="1:14" s="13" customFormat="1" ht="30.75" customHeight="1" thickBot="1" x14ac:dyDescent="0.35">
      <c r="A32" s="31" t="s">
        <v>144</v>
      </c>
      <c r="B32" s="33" t="s">
        <v>158</v>
      </c>
      <c r="C32" s="33" t="s">
        <v>29</v>
      </c>
      <c r="D32" s="33" t="s">
        <v>171</v>
      </c>
      <c r="E32" s="31" t="s">
        <v>177</v>
      </c>
      <c r="F32" s="33"/>
      <c r="G32" s="33" t="s">
        <v>50</v>
      </c>
      <c r="H32" s="31"/>
      <c r="I32" s="31"/>
      <c r="J32" s="33" t="s">
        <v>211</v>
      </c>
      <c r="K32" s="33"/>
      <c r="L32" s="33"/>
      <c r="M32" s="33"/>
      <c r="N32" s="33"/>
    </row>
    <row r="33" spans="1:14" s="13" customFormat="1" ht="30.75" customHeight="1" thickBot="1" x14ac:dyDescent="0.35">
      <c r="A33" s="31" t="s">
        <v>146</v>
      </c>
      <c r="B33" s="33" t="s">
        <v>158</v>
      </c>
      <c r="C33" s="33" t="s">
        <v>29</v>
      </c>
      <c r="D33" s="33" t="s">
        <v>171</v>
      </c>
      <c r="E33" s="31" t="s">
        <v>177</v>
      </c>
      <c r="F33" s="33"/>
      <c r="G33" s="33" t="s">
        <v>50</v>
      </c>
      <c r="H33" s="31"/>
      <c r="I33" s="31"/>
      <c r="J33" s="33" t="s">
        <v>214</v>
      </c>
      <c r="K33" s="33"/>
      <c r="L33" s="33"/>
      <c r="M33" s="33"/>
      <c r="N33" s="33"/>
    </row>
    <row r="34" spans="1:14" s="13" customFormat="1" ht="30.75" customHeight="1" thickBot="1" x14ac:dyDescent="0.35">
      <c r="A34" s="31" t="s">
        <v>145</v>
      </c>
      <c r="B34" s="33" t="s">
        <v>157</v>
      </c>
      <c r="C34" s="33" t="s">
        <v>338</v>
      </c>
      <c r="D34" s="33" t="s">
        <v>164</v>
      </c>
      <c r="E34" s="31" t="s">
        <v>177</v>
      </c>
      <c r="F34" s="33"/>
      <c r="G34" s="33" t="s">
        <v>49</v>
      </c>
      <c r="H34" s="31"/>
      <c r="I34" s="31"/>
      <c r="J34" s="33" t="s">
        <v>222</v>
      </c>
      <c r="K34" s="33"/>
      <c r="L34" s="33"/>
      <c r="M34" s="33"/>
      <c r="N34" s="33"/>
    </row>
    <row r="35" spans="1:14" s="13" customFormat="1" ht="30.75" customHeight="1" thickBot="1" x14ac:dyDescent="0.35">
      <c r="A35" s="31" t="s">
        <v>115</v>
      </c>
      <c r="B35" s="33" t="s">
        <v>157</v>
      </c>
      <c r="C35" s="33" t="s">
        <v>338</v>
      </c>
      <c r="D35" s="33" t="s">
        <v>164</v>
      </c>
      <c r="E35" s="31" t="s">
        <v>177</v>
      </c>
      <c r="F35" s="33"/>
      <c r="G35" s="33" t="s">
        <v>49</v>
      </c>
      <c r="H35" s="31"/>
      <c r="I35" s="31"/>
      <c r="J35" s="33" t="s">
        <v>190</v>
      </c>
      <c r="K35" s="33"/>
      <c r="L35" s="33"/>
      <c r="M35" s="33"/>
      <c r="N35" s="33"/>
    </row>
    <row r="36" spans="1:14" s="13" customFormat="1" ht="30.75" customHeight="1" thickBot="1" x14ac:dyDescent="0.35">
      <c r="A36" s="31" t="s">
        <v>148</v>
      </c>
      <c r="B36" s="33" t="s">
        <v>157</v>
      </c>
      <c r="C36" s="33" t="s">
        <v>338</v>
      </c>
      <c r="D36" s="33" t="s">
        <v>175</v>
      </c>
      <c r="E36" s="31" t="s">
        <v>177</v>
      </c>
      <c r="F36" s="33"/>
      <c r="G36" s="33" t="s">
        <v>49</v>
      </c>
      <c r="H36" s="31"/>
      <c r="I36" s="31"/>
      <c r="J36" s="33" t="s">
        <v>223</v>
      </c>
      <c r="K36" s="33"/>
      <c r="L36" s="33"/>
      <c r="M36" s="33"/>
      <c r="N36" s="33"/>
    </row>
    <row r="37" spans="1:14" s="13" customFormat="1" ht="30.75" customHeight="1" thickBot="1" x14ac:dyDescent="0.35">
      <c r="A37" s="31" t="s">
        <v>140</v>
      </c>
      <c r="B37" s="33" t="s">
        <v>157</v>
      </c>
      <c r="C37" s="33" t="s">
        <v>60</v>
      </c>
      <c r="D37" s="33" t="s">
        <v>165</v>
      </c>
      <c r="E37" s="31" t="s">
        <v>176</v>
      </c>
      <c r="F37" s="33"/>
      <c r="G37" s="33" t="s">
        <v>49</v>
      </c>
      <c r="H37" s="31"/>
      <c r="I37" s="31"/>
      <c r="J37" s="33" t="s">
        <v>195</v>
      </c>
      <c r="K37" s="33"/>
      <c r="L37" s="33"/>
      <c r="M37" s="33"/>
      <c r="N37" s="33"/>
    </row>
    <row r="38" spans="1:14" s="13" customFormat="1" ht="30.75" customHeight="1" thickBot="1" x14ac:dyDescent="0.35">
      <c r="A38" s="31" t="s">
        <v>128</v>
      </c>
      <c r="B38" s="33" t="s">
        <v>157</v>
      </c>
      <c r="C38" s="33" t="s">
        <v>338</v>
      </c>
      <c r="D38" s="33" t="s">
        <v>281</v>
      </c>
      <c r="E38" s="31" t="s">
        <v>177</v>
      </c>
      <c r="F38" s="33"/>
      <c r="G38" s="33" t="s">
        <v>250</v>
      </c>
      <c r="H38" s="31"/>
      <c r="I38" s="31"/>
      <c r="J38" s="33" t="s">
        <v>198</v>
      </c>
      <c r="K38" s="33"/>
      <c r="L38" s="33"/>
      <c r="M38" s="33"/>
      <c r="N38" s="33"/>
    </row>
    <row r="39" spans="1:14" s="13" customFormat="1" ht="30.75" customHeight="1" thickBot="1" x14ac:dyDescent="0.35">
      <c r="A39" s="31" t="s">
        <v>138</v>
      </c>
      <c r="B39" s="33" t="s">
        <v>157</v>
      </c>
      <c r="C39" s="33" t="s">
        <v>338</v>
      </c>
      <c r="D39" s="33" t="s">
        <v>74</v>
      </c>
      <c r="E39" s="31" t="s">
        <v>176</v>
      </c>
      <c r="F39" s="33"/>
      <c r="G39" s="33" t="s">
        <v>50</v>
      </c>
      <c r="H39" s="31"/>
      <c r="I39" s="31"/>
      <c r="J39" s="33" t="s">
        <v>204</v>
      </c>
      <c r="K39" s="33"/>
      <c r="L39" s="33"/>
      <c r="M39" s="33"/>
      <c r="N39" s="33"/>
    </row>
    <row r="40" spans="1:14" s="13" customFormat="1" ht="30.75" customHeight="1" thickBot="1" x14ac:dyDescent="0.35">
      <c r="A40" s="31" t="s">
        <v>68</v>
      </c>
      <c r="B40" s="33" t="s">
        <v>157</v>
      </c>
      <c r="C40" s="33" t="s">
        <v>338</v>
      </c>
      <c r="D40" s="33" t="s">
        <v>166</v>
      </c>
      <c r="E40" s="31" t="s">
        <v>176</v>
      </c>
      <c r="F40" s="33"/>
      <c r="G40" s="33" t="s">
        <v>50</v>
      </c>
      <c r="H40" s="31"/>
      <c r="I40" s="31"/>
      <c r="J40" s="33" t="s">
        <v>203</v>
      </c>
      <c r="K40" s="33"/>
      <c r="L40" s="33"/>
      <c r="M40" s="33"/>
      <c r="N40" s="33"/>
    </row>
    <row r="41" spans="1:14" s="13" customFormat="1" ht="30.75" customHeight="1" thickBot="1" x14ac:dyDescent="0.35">
      <c r="A41" s="31" t="s">
        <v>83</v>
      </c>
      <c r="B41" s="33" t="s">
        <v>157</v>
      </c>
      <c r="C41" s="33" t="s">
        <v>338</v>
      </c>
      <c r="D41" s="33" t="s">
        <v>166</v>
      </c>
      <c r="E41" s="31" t="s">
        <v>176</v>
      </c>
      <c r="F41" s="33"/>
      <c r="G41" s="33" t="s">
        <v>50</v>
      </c>
      <c r="H41" s="31"/>
      <c r="I41" s="31"/>
      <c r="J41" s="33" t="s">
        <v>200</v>
      </c>
      <c r="K41" s="33"/>
      <c r="L41" s="33"/>
      <c r="M41" s="33"/>
      <c r="N41" s="33"/>
    </row>
    <row r="42" spans="1:14" s="13" customFormat="1" ht="30.75" customHeight="1" thickBot="1" x14ac:dyDescent="0.35">
      <c r="A42" s="31" t="s">
        <v>152</v>
      </c>
      <c r="B42" s="33" t="s">
        <v>157</v>
      </c>
      <c r="C42" s="33" t="s">
        <v>338</v>
      </c>
      <c r="D42" s="33" t="s">
        <v>166</v>
      </c>
      <c r="E42" s="31" t="s">
        <v>176</v>
      </c>
      <c r="F42" s="33"/>
      <c r="G42" s="33" t="s">
        <v>50</v>
      </c>
      <c r="H42" s="31"/>
      <c r="I42" s="31"/>
      <c r="J42" s="33" t="s">
        <v>201</v>
      </c>
      <c r="K42" s="33"/>
      <c r="L42" s="33"/>
      <c r="M42" s="33"/>
      <c r="N42" s="33"/>
    </row>
    <row r="43" spans="1:14" s="13" customFormat="1" ht="30.75" customHeight="1" thickBot="1" x14ac:dyDescent="0.35">
      <c r="A43" s="31" t="s">
        <v>150</v>
      </c>
      <c r="B43" s="33" t="s">
        <v>157</v>
      </c>
      <c r="C43" s="33" t="s">
        <v>60</v>
      </c>
      <c r="D43" s="33" t="s">
        <v>161</v>
      </c>
      <c r="E43" s="31" t="s">
        <v>177</v>
      </c>
      <c r="F43" s="33" t="s">
        <v>282</v>
      </c>
      <c r="G43" s="33" t="s">
        <v>49</v>
      </c>
      <c r="H43" s="31" t="s">
        <v>296</v>
      </c>
      <c r="I43" s="31" t="s">
        <v>287</v>
      </c>
      <c r="J43" s="33" t="s">
        <v>187</v>
      </c>
      <c r="K43" s="33" t="s">
        <v>256</v>
      </c>
      <c r="L43" s="33" t="s">
        <v>256</v>
      </c>
      <c r="M43" s="33" t="s">
        <v>256</v>
      </c>
      <c r="N43" s="33" t="s">
        <v>256</v>
      </c>
    </row>
    <row r="44" spans="1:14" s="13" customFormat="1" ht="30.75" customHeight="1" thickBot="1" x14ac:dyDescent="0.35">
      <c r="A44" s="31" t="s">
        <v>146</v>
      </c>
      <c r="B44" s="33" t="s">
        <v>157</v>
      </c>
      <c r="C44" s="33" t="s">
        <v>60</v>
      </c>
      <c r="D44" s="33" t="s">
        <v>161</v>
      </c>
      <c r="E44" s="31" t="s">
        <v>177</v>
      </c>
      <c r="F44" s="33" t="s">
        <v>264</v>
      </c>
      <c r="G44" s="33" t="s">
        <v>49</v>
      </c>
      <c r="H44" s="31" t="s">
        <v>299</v>
      </c>
      <c r="I44" s="31" t="s">
        <v>287</v>
      </c>
      <c r="J44" s="33" t="s">
        <v>182</v>
      </c>
      <c r="K44" s="33" t="s">
        <v>256</v>
      </c>
      <c r="L44" s="33" t="s">
        <v>256</v>
      </c>
      <c r="M44" s="33" t="s">
        <v>256</v>
      </c>
      <c r="N44" s="33" t="s">
        <v>256</v>
      </c>
    </row>
    <row r="45" spans="1:14" s="13" customFormat="1" ht="30.75" customHeight="1" thickBot="1" x14ac:dyDescent="0.35">
      <c r="A45" s="31" t="s">
        <v>134</v>
      </c>
      <c r="B45" s="33" t="s">
        <v>157</v>
      </c>
      <c r="C45" s="33" t="s">
        <v>60</v>
      </c>
      <c r="D45" s="33" t="s">
        <v>163</v>
      </c>
      <c r="E45" s="31" t="s">
        <v>177</v>
      </c>
      <c r="F45" s="33" t="s">
        <v>264</v>
      </c>
      <c r="G45" s="33" t="s">
        <v>49</v>
      </c>
      <c r="H45" s="31" t="s">
        <v>301</v>
      </c>
      <c r="I45" s="31" t="s">
        <v>257</v>
      </c>
      <c r="J45" s="33" t="s">
        <v>189</v>
      </c>
      <c r="K45" s="33" t="s">
        <v>302</v>
      </c>
      <c r="L45" s="33" t="s">
        <v>256</v>
      </c>
      <c r="M45" s="33" t="s">
        <v>256</v>
      </c>
      <c r="N45" s="33" t="s">
        <v>256</v>
      </c>
    </row>
    <row r="46" spans="1:14" s="13" customFormat="1" ht="30.75" customHeight="1" thickBot="1" x14ac:dyDescent="0.35">
      <c r="A46" s="31" t="s">
        <v>155</v>
      </c>
      <c r="B46" s="33" t="s">
        <v>157</v>
      </c>
      <c r="C46" s="33" t="s">
        <v>60</v>
      </c>
      <c r="D46" s="33" t="s">
        <v>162</v>
      </c>
      <c r="E46" s="31" t="s">
        <v>177</v>
      </c>
      <c r="F46" s="33" t="s">
        <v>264</v>
      </c>
      <c r="G46" s="33" t="s">
        <v>49</v>
      </c>
      <c r="H46" s="31" t="s">
        <v>272</v>
      </c>
      <c r="I46" s="31" t="s">
        <v>300</v>
      </c>
      <c r="J46" s="33" t="s">
        <v>184</v>
      </c>
      <c r="K46" s="33" t="s">
        <v>256</v>
      </c>
      <c r="L46" s="33" t="s">
        <v>256</v>
      </c>
      <c r="M46" s="33" t="s">
        <v>256</v>
      </c>
      <c r="N46" s="33" t="s">
        <v>256</v>
      </c>
    </row>
    <row r="47" spans="1:14" s="13" customFormat="1" ht="30.75" customHeight="1" thickBot="1" x14ac:dyDescent="0.35">
      <c r="A47" s="31" t="s">
        <v>126</v>
      </c>
      <c r="B47" s="33" t="s">
        <v>157</v>
      </c>
      <c r="C47" s="33" t="s">
        <v>60</v>
      </c>
      <c r="D47" s="33" t="s">
        <v>162</v>
      </c>
      <c r="E47" s="31" t="s">
        <v>177</v>
      </c>
      <c r="F47" s="33"/>
      <c r="G47" s="33" t="s">
        <v>49</v>
      </c>
      <c r="H47" s="31"/>
      <c r="I47" s="31" t="s">
        <v>300</v>
      </c>
      <c r="J47" s="33" t="s">
        <v>186</v>
      </c>
      <c r="K47" s="33" t="s">
        <v>256</v>
      </c>
      <c r="L47" s="33" t="s">
        <v>256</v>
      </c>
      <c r="M47" s="33" t="s">
        <v>256</v>
      </c>
      <c r="N47" s="33" t="s">
        <v>256</v>
      </c>
    </row>
    <row r="48" spans="1:14" s="13" customFormat="1" ht="30.75" customHeight="1" thickBot="1" x14ac:dyDescent="0.35">
      <c r="A48" s="31" t="s">
        <v>156</v>
      </c>
      <c r="B48" s="33" t="s">
        <v>157</v>
      </c>
      <c r="C48" s="33" t="s">
        <v>60</v>
      </c>
      <c r="D48" s="33" t="s">
        <v>162</v>
      </c>
      <c r="E48" s="31" t="s">
        <v>177</v>
      </c>
      <c r="F48" s="33"/>
      <c r="G48" s="33" t="s">
        <v>49</v>
      </c>
      <c r="H48" s="31"/>
      <c r="I48" s="31" t="s">
        <v>300</v>
      </c>
      <c r="J48" s="33" t="s">
        <v>185</v>
      </c>
      <c r="K48" s="33" t="s">
        <v>256</v>
      </c>
      <c r="L48" s="33" t="s">
        <v>256</v>
      </c>
      <c r="M48" s="33" t="s">
        <v>256</v>
      </c>
      <c r="N48" s="33" t="s">
        <v>256</v>
      </c>
    </row>
    <row r="49" spans="1:14" s="13" customFormat="1" ht="30.75" customHeight="1" thickBot="1" x14ac:dyDescent="0.35">
      <c r="A49" s="31" t="s">
        <v>131</v>
      </c>
      <c r="B49" s="33" t="s">
        <v>157</v>
      </c>
      <c r="C49" s="33" t="s">
        <v>60</v>
      </c>
      <c r="D49" s="33" t="s">
        <v>160</v>
      </c>
      <c r="E49" s="31" t="s">
        <v>177</v>
      </c>
      <c r="F49" s="33"/>
      <c r="G49" s="33" t="s">
        <v>49</v>
      </c>
      <c r="H49" s="31"/>
      <c r="I49" s="31" t="s">
        <v>300</v>
      </c>
      <c r="J49" s="33" t="s">
        <v>181</v>
      </c>
      <c r="K49" s="33" t="s">
        <v>256</v>
      </c>
      <c r="L49" s="33" t="s">
        <v>256</v>
      </c>
      <c r="M49" s="33" t="s">
        <v>256</v>
      </c>
      <c r="N49" s="33" t="s">
        <v>256</v>
      </c>
    </row>
    <row r="50" spans="1:14" s="13" customFormat="1" ht="30.75" customHeight="1" thickBot="1" x14ac:dyDescent="0.35">
      <c r="A50" s="31" t="s">
        <v>134</v>
      </c>
      <c r="B50" s="33" t="s">
        <v>157</v>
      </c>
      <c r="C50" s="33" t="s">
        <v>60</v>
      </c>
      <c r="D50" s="33" t="s">
        <v>165</v>
      </c>
      <c r="E50" s="31" t="s">
        <v>177</v>
      </c>
      <c r="F50" s="33"/>
      <c r="G50" s="33" t="s">
        <v>49</v>
      </c>
      <c r="H50" s="31"/>
      <c r="I50" s="31" t="s">
        <v>300</v>
      </c>
      <c r="J50" s="33" t="s">
        <v>194</v>
      </c>
      <c r="K50" s="33" t="s">
        <v>256</v>
      </c>
      <c r="L50" s="33" t="s">
        <v>256</v>
      </c>
      <c r="M50" s="33" t="s">
        <v>256</v>
      </c>
      <c r="N50" s="33" t="s">
        <v>256</v>
      </c>
    </row>
    <row r="51" spans="1:14" s="13" customFormat="1" ht="30.75" customHeight="1" thickBot="1" x14ac:dyDescent="0.35">
      <c r="A51" s="31" t="s">
        <v>136</v>
      </c>
      <c r="B51" s="33" t="s">
        <v>22</v>
      </c>
      <c r="C51" s="33" t="s">
        <v>338</v>
      </c>
      <c r="D51" s="33" t="s">
        <v>75</v>
      </c>
      <c r="E51" s="31" t="s">
        <v>176</v>
      </c>
      <c r="F51" s="33" t="s">
        <v>260</v>
      </c>
      <c r="G51" s="33" t="s">
        <v>50</v>
      </c>
      <c r="H51" s="31" t="s">
        <v>261</v>
      </c>
      <c r="I51" s="31" t="s">
        <v>71</v>
      </c>
      <c r="J51" s="33" t="s">
        <v>216</v>
      </c>
      <c r="K51" s="33" t="s">
        <v>72</v>
      </c>
      <c r="L51" s="33" t="s">
        <v>72</v>
      </c>
      <c r="M51" s="33" t="s">
        <v>72</v>
      </c>
      <c r="N51" s="33" t="s">
        <v>72</v>
      </c>
    </row>
    <row r="52" spans="1:14" s="13" customFormat="1" ht="30.75" customHeight="1" thickBot="1" x14ac:dyDescent="0.35">
      <c r="A52" s="31" t="s">
        <v>137</v>
      </c>
      <c r="B52" s="33" t="s">
        <v>157</v>
      </c>
      <c r="C52" s="33" t="s">
        <v>10</v>
      </c>
      <c r="D52" s="33" t="s">
        <v>276</v>
      </c>
      <c r="E52" s="31" t="s">
        <v>176</v>
      </c>
      <c r="F52" s="33" t="s">
        <v>274</v>
      </c>
      <c r="G52" s="33" t="s">
        <v>50</v>
      </c>
      <c r="H52" s="31" t="s">
        <v>277</v>
      </c>
      <c r="I52" s="31" t="s">
        <v>278</v>
      </c>
      <c r="J52" s="33" t="s">
        <v>221</v>
      </c>
      <c r="K52" s="33" t="s">
        <v>256</v>
      </c>
      <c r="L52" s="33" t="s">
        <v>256</v>
      </c>
      <c r="M52" s="33" t="s">
        <v>256</v>
      </c>
      <c r="N52" s="33" t="s">
        <v>256</v>
      </c>
    </row>
    <row r="53" spans="1:14" s="13" customFormat="1" ht="30.75" customHeight="1" thickBot="1" x14ac:dyDescent="0.35">
      <c r="A53" s="31" t="s">
        <v>122</v>
      </c>
      <c r="B53" s="33" t="s">
        <v>22</v>
      </c>
      <c r="C53" s="33" t="s">
        <v>338</v>
      </c>
      <c r="D53" s="33" t="s">
        <v>105</v>
      </c>
      <c r="E53" s="31" t="s">
        <v>104</v>
      </c>
      <c r="F53" s="33" t="s">
        <v>95</v>
      </c>
      <c r="G53" s="33" t="s">
        <v>50</v>
      </c>
      <c r="H53" s="31" t="s">
        <v>107</v>
      </c>
      <c r="I53" s="31" t="s">
        <v>85</v>
      </c>
      <c r="J53" s="33" t="s">
        <v>61</v>
      </c>
      <c r="K53" s="33" t="s">
        <v>72</v>
      </c>
      <c r="L53" s="33" t="s">
        <v>72</v>
      </c>
      <c r="M53" s="33" t="s">
        <v>72</v>
      </c>
      <c r="N53" s="33" t="s">
        <v>72</v>
      </c>
    </row>
    <row r="54" spans="1:14" s="13" customFormat="1" ht="30.75" customHeight="1" thickBot="1" x14ac:dyDescent="0.35">
      <c r="A54" s="31" t="s">
        <v>117</v>
      </c>
      <c r="B54" s="33" t="s">
        <v>157</v>
      </c>
      <c r="C54" s="33" t="s">
        <v>10</v>
      </c>
      <c r="D54" s="33" t="s">
        <v>276</v>
      </c>
      <c r="E54" s="31" t="s">
        <v>176</v>
      </c>
      <c r="F54" s="33" t="s">
        <v>274</v>
      </c>
      <c r="G54" s="33" t="s">
        <v>50</v>
      </c>
      <c r="H54" s="31" t="s">
        <v>277</v>
      </c>
      <c r="I54" s="31" t="s">
        <v>278</v>
      </c>
      <c r="J54" s="33" t="s">
        <v>220</v>
      </c>
      <c r="K54" s="33" t="s">
        <v>256</v>
      </c>
      <c r="L54" s="33" t="s">
        <v>256</v>
      </c>
      <c r="M54" s="33" t="s">
        <v>256</v>
      </c>
      <c r="N54" s="33" t="s">
        <v>256</v>
      </c>
    </row>
    <row r="55" spans="1:14" s="13" customFormat="1" ht="30.75" customHeight="1" thickBot="1" x14ac:dyDescent="0.35">
      <c r="A55" s="31" t="s">
        <v>125</v>
      </c>
      <c r="B55" s="33" t="s">
        <v>157</v>
      </c>
      <c r="C55" s="33" t="s">
        <v>338</v>
      </c>
      <c r="D55" s="33" t="s">
        <v>281</v>
      </c>
      <c r="E55" s="31" t="s">
        <v>177</v>
      </c>
      <c r="F55" s="33" t="s">
        <v>282</v>
      </c>
      <c r="G55" s="33" t="s">
        <v>250</v>
      </c>
      <c r="H55" s="31" t="s">
        <v>283</v>
      </c>
      <c r="I55" s="31" t="s">
        <v>257</v>
      </c>
      <c r="J55" s="33" t="s">
        <v>197</v>
      </c>
      <c r="K55" s="33" t="s">
        <v>256</v>
      </c>
      <c r="L55" s="33" t="s">
        <v>256</v>
      </c>
      <c r="M55" s="33" t="s">
        <v>256</v>
      </c>
      <c r="N55" s="33" t="s">
        <v>256</v>
      </c>
    </row>
    <row r="56" spans="1:14" s="13" customFormat="1" ht="30.75" customHeight="1" thickBot="1" x14ac:dyDescent="0.35">
      <c r="A56" s="31" t="s">
        <v>119</v>
      </c>
      <c r="B56" s="33" t="s">
        <v>157</v>
      </c>
      <c r="C56" s="33" t="s">
        <v>60</v>
      </c>
      <c r="D56" s="33" t="s">
        <v>163</v>
      </c>
      <c r="E56" s="31" t="s">
        <v>176</v>
      </c>
      <c r="F56" s="33" t="s">
        <v>264</v>
      </c>
      <c r="G56" s="33" t="s">
        <v>49</v>
      </c>
      <c r="H56" s="31" t="s">
        <v>272</v>
      </c>
      <c r="I56" s="31" t="s">
        <v>273</v>
      </c>
      <c r="J56" s="33" t="s">
        <v>196</v>
      </c>
      <c r="K56" s="33" t="s">
        <v>256</v>
      </c>
      <c r="L56" s="33" t="s">
        <v>256</v>
      </c>
      <c r="M56" s="33" t="s">
        <v>256</v>
      </c>
      <c r="N56" s="33" t="s">
        <v>256</v>
      </c>
    </row>
    <row r="57" spans="1:14" s="13" customFormat="1" ht="30.75" customHeight="1" thickBot="1" x14ac:dyDescent="0.35">
      <c r="A57" s="31" t="s">
        <v>123</v>
      </c>
      <c r="B57" s="33" t="s">
        <v>22</v>
      </c>
      <c r="C57" s="33" t="s">
        <v>338</v>
      </c>
      <c r="D57" s="33" t="s">
        <v>75</v>
      </c>
      <c r="E57" s="31" t="s">
        <v>177</v>
      </c>
      <c r="F57" s="33" t="s">
        <v>79</v>
      </c>
      <c r="G57" s="33" t="s">
        <v>50</v>
      </c>
      <c r="H57" s="31" t="s">
        <v>80</v>
      </c>
      <c r="I57" s="31" t="s">
        <v>71</v>
      </c>
      <c r="J57" s="33" t="s">
        <v>81</v>
      </c>
      <c r="K57" s="33" t="s">
        <v>72</v>
      </c>
      <c r="L57" s="33" t="s">
        <v>82</v>
      </c>
      <c r="M57" s="33" t="s">
        <v>72</v>
      </c>
      <c r="N57" s="33" t="s">
        <v>72</v>
      </c>
    </row>
    <row r="58" spans="1:14" s="13" customFormat="1" ht="30.75" customHeight="1" thickBot="1" x14ac:dyDescent="0.35">
      <c r="A58" s="31" t="s">
        <v>121</v>
      </c>
      <c r="B58" s="33" t="s">
        <v>157</v>
      </c>
      <c r="C58" s="33" t="s">
        <v>338</v>
      </c>
      <c r="D58" s="33" t="s">
        <v>164</v>
      </c>
      <c r="E58" s="31" t="s">
        <v>176</v>
      </c>
      <c r="F58" s="33" t="s">
        <v>292</v>
      </c>
      <c r="G58" s="33" t="s">
        <v>49</v>
      </c>
      <c r="H58" s="31"/>
      <c r="I58" s="31"/>
      <c r="J58" s="33" t="s">
        <v>193</v>
      </c>
      <c r="K58" s="33"/>
      <c r="L58" s="33"/>
      <c r="M58" s="33"/>
      <c r="N58" s="33"/>
    </row>
    <row r="59" spans="1:14" s="13" customFormat="1" ht="30.75" customHeight="1" thickBot="1" x14ac:dyDescent="0.35">
      <c r="A59" s="31" t="s">
        <v>120</v>
      </c>
      <c r="B59" s="33" t="s">
        <v>157</v>
      </c>
      <c r="C59" s="33" t="s">
        <v>60</v>
      </c>
      <c r="D59" s="33" t="s">
        <v>289</v>
      </c>
      <c r="E59" s="31" t="s">
        <v>177</v>
      </c>
      <c r="F59" s="33" t="s">
        <v>264</v>
      </c>
      <c r="G59" s="33" t="s">
        <v>49</v>
      </c>
      <c r="H59" s="31" t="s">
        <v>294</v>
      </c>
      <c r="I59" s="31" t="s">
        <v>287</v>
      </c>
      <c r="J59" s="33" t="s">
        <v>183</v>
      </c>
      <c r="K59" s="33" t="s">
        <v>256</v>
      </c>
      <c r="L59" s="33" t="s">
        <v>256</v>
      </c>
      <c r="M59" s="33" t="s">
        <v>256</v>
      </c>
      <c r="N59" s="33" t="s">
        <v>256</v>
      </c>
    </row>
    <row r="60" spans="1:14" s="13" customFormat="1" ht="30.75" customHeight="1" thickBot="1" x14ac:dyDescent="0.35">
      <c r="A60" s="31" t="s">
        <v>116</v>
      </c>
      <c r="B60" s="33" t="s">
        <v>22</v>
      </c>
      <c r="C60" s="33" t="s">
        <v>338</v>
      </c>
      <c r="D60" s="33" t="s">
        <v>268</v>
      </c>
      <c r="E60" s="31" t="s">
        <v>179</v>
      </c>
      <c r="F60" s="33" t="s">
        <v>79</v>
      </c>
      <c r="G60" s="33" t="s">
        <v>50</v>
      </c>
      <c r="H60" s="31" t="s">
        <v>271</v>
      </c>
      <c r="I60" s="31" t="s">
        <v>269</v>
      </c>
      <c r="J60" s="33" t="s">
        <v>218</v>
      </c>
      <c r="K60" s="33" t="s">
        <v>82</v>
      </c>
      <c r="L60" s="33" t="s">
        <v>82</v>
      </c>
      <c r="M60" s="33" t="s">
        <v>256</v>
      </c>
      <c r="N60" s="33" t="s">
        <v>256</v>
      </c>
    </row>
    <row r="61" spans="1:14" s="13" customFormat="1" ht="30.75" customHeight="1" thickBot="1" x14ac:dyDescent="0.35">
      <c r="A61" s="31" t="s">
        <v>130</v>
      </c>
      <c r="B61" s="33" t="s">
        <v>157</v>
      </c>
      <c r="C61" s="33" t="s">
        <v>338</v>
      </c>
      <c r="D61" s="33" t="s">
        <v>74</v>
      </c>
      <c r="E61" s="31" t="s">
        <v>176</v>
      </c>
      <c r="F61" s="33" t="s">
        <v>274</v>
      </c>
      <c r="G61" s="33" t="s">
        <v>50</v>
      </c>
      <c r="H61" s="31" t="s">
        <v>275</v>
      </c>
      <c r="I61" s="31" t="s">
        <v>273</v>
      </c>
      <c r="J61" s="33" t="s">
        <v>202</v>
      </c>
      <c r="K61" s="33" t="s">
        <v>256</v>
      </c>
      <c r="L61" s="33" t="s">
        <v>256</v>
      </c>
      <c r="M61" s="33" t="s">
        <v>256</v>
      </c>
      <c r="N61" s="33" t="s">
        <v>256</v>
      </c>
    </row>
    <row r="62" spans="1:14" s="13" customFormat="1" ht="30.75" customHeight="1" thickBot="1" x14ac:dyDescent="0.35">
      <c r="A62" s="33" t="s">
        <v>149</v>
      </c>
      <c r="B62" s="33" t="s">
        <v>58</v>
      </c>
      <c r="C62" s="33" t="s">
        <v>356</v>
      </c>
      <c r="D62" s="33" t="s">
        <v>263</v>
      </c>
      <c r="E62" s="31"/>
      <c r="F62" s="33"/>
      <c r="G62" s="33"/>
      <c r="H62" s="31"/>
      <c r="I62" s="31"/>
      <c r="J62" s="33" t="s">
        <v>262</v>
      </c>
      <c r="K62" s="33" t="s">
        <v>256</v>
      </c>
      <c r="L62" s="33" t="s">
        <v>72</v>
      </c>
      <c r="M62" s="33" t="s">
        <v>72</v>
      </c>
      <c r="N62" s="33" t="s">
        <v>72</v>
      </c>
    </row>
    <row r="63" spans="1:14" s="13" customFormat="1" ht="30.6" customHeight="1" thickBot="1" x14ac:dyDescent="0.35">
      <c r="A63" s="33" t="s">
        <v>154</v>
      </c>
      <c r="B63" s="33" t="s">
        <v>58</v>
      </c>
      <c r="C63" s="31" t="s">
        <v>338</v>
      </c>
      <c r="D63" s="33" t="s">
        <v>89</v>
      </c>
      <c r="E63" s="31"/>
      <c r="F63" s="31"/>
      <c r="G63" s="31"/>
      <c r="H63" s="31"/>
      <c r="I63" s="31"/>
      <c r="J63" s="33" t="s">
        <v>279</v>
      </c>
      <c r="K63" s="31" t="s">
        <v>256</v>
      </c>
      <c r="L63" s="31" t="s">
        <v>256</v>
      </c>
      <c r="M63" s="31" t="s">
        <v>256</v>
      </c>
      <c r="N63" s="31" t="s">
        <v>256</v>
      </c>
    </row>
    <row r="64" spans="1:14" s="13" customFormat="1" ht="30.6" customHeight="1" thickBot="1" x14ac:dyDescent="0.35">
      <c r="A64" s="33" t="s">
        <v>153</v>
      </c>
      <c r="B64" s="33" t="s">
        <v>58</v>
      </c>
      <c r="C64" s="31" t="s">
        <v>338</v>
      </c>
      <c r="D64" s="33" t="s">
        <v>90</v>
      </c>
      <c r="E64" s="31"/>
      <c r="F64" s="31"/>
      <c r="G64" s="31"/>
      <c r="H64" s="31"/>
      <c r="I64" s="31"/>
      <c r="J64" s="33" t="s">
        <v>280</v>
      </c>
      <c r="K64" s="31" t="s">
        <v>256</v>
      </c>
      <c r="L64" s="31" t="s">
        <v>256</v>
      </c>
      <c r="M64" s="31" t="s">
        <v>256</v>
      </c>
      <c r="N64" s="31" t="s">
        <v>256</v>
      </c>
    </row>
    <row r="65" spans="1:14" s="13" customFormat="1" ht="30.6" customHeight="1" thickBot="1" x14ac:dyDescent="0.35">
      <c r="A65" s="33" t="s">
        <v>100</v>
      </c>
      <c r="B65" s="33" t="s">
        <v>58</v>
      </c>
      <c r="C65" s="31" t="s">
        <v>338</v>
      </c>
      <c r="D65" s="33" t="s">
        <v>89</v>
      </c>
      <c r="E65" s="31"/>
      <c r="F65" s="31"/>
      <c r="G65" s="31"/>
      <c r="H65" s="31"/>
      <c r="I65" s="31"/>
      <c r="J65" s="33" t="s">
        <v>103</v>
      </c>
      <c r="K65" s="31"/>
      <c r="L65" s="31"/>
      <c r="M65" s="31"/>
      <c r="N65" s="31"/>
    </row>
    <row r="66" spans="1:14" s="13" customFormat="1" ht="30.6" customHeight="1" thickBot="1" x14ac:dyDescent="0.35">
      <c r="A66" s="33" t="s">
        <v>124</v>
      </c>
      <c r="B66" s="33" t="s">
        <v>58</v>
      </c>
      <c r="C66" s="31" t="s">
        <v>338</v>
      </c>
      <c r="D66" s="31" t="s">
        <v>357</v>
      </c>
      <c r="E66" s="33"/>
      <c r="F66" s="33"/>
      <c r="G66" s="33"/>
      <c r="H66" s="31"/>
      <c r="I66" s="33"/>
      <c r="J66" s="31" t="s">
        <v>230</v>
      </c>
      <c r="K66" s="31"/>
      <c r="L66" s="31"/>
      <c r="M66" s="31"/>
      <c r="N66" s="33"/>
    </row>
    <row r="67" spans="1:14" s="13" customFormat="1" ht="30.6" customHeight="1" thickBot="1" x14ac:dyDescent="0.35">
      <c r="A67" s="33" t="s">
        <v>133</v>
      </c>
      <c r="B67" s="33" t="s">
        <v>58</v>
      </c>
      <c r="C67" s="31" t="s">
        <v>338</v>
      </c>
      <c r="D67" s="33" t="s">
        <v>112</v>
      </c>
      <c r="E67" s="33"/>
      <c r="F67" s="33"/>
      <c r="G67" s="33"/>
      <c r="H67" s="31"/>
      <c r="I67" s="33"/>
      <c r="J67" s="33" t="s">
        <v>284</v>
      </c>
      <c r="K67" s="31"/>
      <c r="L67" s="31"/>
      <c r="M67" s="31"/>
      <c r="N67" s="33"/>
    </row>
    <row r="68" spans="1:14" s="13" customFormat="1" ht="30.6" customHeight="1" thickBot="1" x14ac:dyDescent="0.35">
      <c r="A68" s="31" t="s">
        <v>139</v>
      </c>
      <c r="B68" s="33" t="s">
        <v>58</v>
      </c>
      <c r="C68" s="31" t="s">
        <v>338</v>
      </c>
      <c r="D68" s="31" t="s">
        <v>89</v>
      </c>
      <c r="E68" s="33"/>
      <c r="F68" s="33"/>
      <c r="G68" s="33"/>
      <c r="H68" s="31"/>
      <c r="I68" s="33"/>
      <c r="J68" s="31" t="s">
        <v>242</v>
      </c>
      <c r="K68" s="31"/>
      <c r="L68" s="31"/>
      <c r="M68" s="31"/>
      <c r="N68" s="33"/>
    </row>
    <row r="69" spans="1:14" s="13" customFormat="1" ht="30.6" customHeight="1" thickBot="1" x14ac:dyDescent="0.35">
      <c r="A69" s="31" t="s">
        <v>132</v>
      </c>
      <c r="B69" s="33" t="s">
        <v>58</v>
      </c>
      <c r="C69" s="31" t="s">
        <v>338</v>
      </c>
      <c r="D69" s="31" t="s">
        <v>112</v>
      </c>
      <c r="E69" s="33"/>
      <c r="F69" s="33"/>
      <c r="G69" s="33"/>
      <c r="H69" s="31"/>
      <c r="I69" s="33"/>
      <c r="J69" s="31" t="s">
        <v>238</v>
      </c>
      <c r="K69" s="31"/>
      <c r="L69" s="31"/>
      <c r="M69" s="31"/>
      <c r="N69" s="33"/>
    </row>
    <row r="70" spans="1:14" s="13" customFormat="1" ht="30.6" customHeight="1" thickBot="1" x14ac:dyDescent="0.35">
      <c r="A70" s="31" t="s">
        <v>9</v>
      </c>
      <c r="B70" s="33" t="s">
        <v>58</v>
      </c>
      <c r="C70" s="31" t="s">
        <v>338</v>
      </c>
      <c r="D70" s="31" t="s">
        <v>89</v>
      </c>
      <c r="E70" s="33"/>
      <c r="F70" s="33"/>
      <c r="G70" s="33"/>
      <c r="H70" s="31"/>
      <c r="I70" s="33"/>
      <c r="J70" s="31" t="s">
        <v>87</v>
      </c>
      <c r="K70" s="31"/>
      <c r="L70" s="31"/>
      <c r="M70" s="31"/>
      <c r="N70" s="33"/>
    </row>
    <row r="71" spans="1:14" s="13" customFormat="1" ht="30.6" customHeight="1" thickBot="1" x14ac:dyDescent="0.35">
      <c r="A71" s="31" t="s">
        <v>143</v>
      </c>
      <c r="B71" s="33" t="s">
        <v>58</v>
      </c>
      <c r="C71" s="31" t="s">
        <v>338</v>
      </c>
      <c r="D71" s="31" t="s">
        <v>112</v>
      </c>
      <c r="E71" s="33"/>
      <c r="F71" s="33"/>
      <c r="G71" s="33"/>
      <c r="H71" s="31"/>
      <c r="I71" s="33"/>
      <c r="J71" s="31" t="s">
        <v>245</v>
      </c>
      <c r="K71" s="31"/>
      <c r="L71" s="31"/>
      <c r="M71" s="31"/>
      <c r="N71" s="33"/>
    </row>
    <row r="72" spans="1:14" s="13" customFormat="1" ht="30.6" customHeight="1" thickBot="1" x14ac:dyDescent="0.35">
      <c r="A72" s="31" t="s">
        <v>129</v>
      </c>
      <c r="B72" s="33" t="s">
        <v>58</v>
      </c>
      <c r="C72" s="31" t="s">
        <v>338</v>
      </c>
      <c r="D72" s="31" t="s">
        <v>112</v>
      </c>
      <c r="E72" s="33"/>
      <c r="F72" s="33"/>
      <c r="G72" s="33"/>
      <c r="H72" s="31"/>
      <c r="I72" s="33"/>
      <c r="J72" s="31" t="s">
        <v>235</v>
      </c>
      <c r="K72" s="31"/>
      <c r="L72" s="31"/>
      <c r="M72" s="31"/>
      <c r="N72" s="33"/>
    </row>
    <row r="73" spans="1:14" s="13" customFormat="1" ht="30.6" customHeight="1" thickBot="1" x14ac:dyDescent="0.35">
      <c r="A73" s="33" t="s">
        <v>127</v>
      </c>
      <c r="B73" s="33" t="s">
        <v>58</v>
      </c>
      <c r="C73" s="31" t="s">
        <v>338</v>
      </c>
      <c r="D73" s="33" t="s">
        <v>89</v>
      </c>
      <c r="E73" s="33"/>
      <c r="F73" s="33"/>
      <c r="G73" s="33"/>
      <c r="H73" s="31"/>
      <c r="I73" s="33"/>
      <c r="J73" s="33" t="s">
        <v>233</v>
      </c>
      <c r="K73" s="31"/>
      <c r="L73" s="31"/>
      <c r="M73" s="31"/>
      <c r="N73" s="33"/>
    </row>
    <row r="74" spans="1:14" s="13" customFormat="1" ht="30.6" customHeight="1" thickBot="1" x14ac:dyDescent="0.35">
      <c r="A74" s="31" t="s">
        <v>135</v>
      </c>
      <c r="B74" s="33" t="s">
        <v>58</v>
      </c>
      <c r="C74" s="31" t="s">
        <v>338</v>
      </c>
      <c r="D74" s="31" t="s">
        <v>112</v>
      </c>
      <c r="E74" s="33"/>
      <c r="F74" s="33"/>
      <c r="G74" s="33"/>
      <c r="H74" s="31"/>
      <c r="I74" s="33"/>
      <c r="J74" s="31" t="s">
        <v>239</v>
      </c>
      <c r="K74" s="31"/>
      <c r="L74" s="31"/>
      <c r="M74" s="31"/>
      <c r="N74" s="33"/>
    </row>
    <row r="75" spans="1:14" s="13" customFormat="1" ht="30.6" customHeight="1" thickBot="1" x14ac:dyDescent="0.35">
      <c r="A75" s="31" t="s">
        <v>116</v>
      </c>
      <c r="B75" s="33" t="s">
        <v>58</v>
      </c>
      <c r="C75" s="31" t="s">
        <v>338</v>
      </c>
      <c r="D75" s="31" t="s">
        <v>112</v>
      </c>
      <c r="E75" s="33"/>
      <c r="F75" s="33"/>
      <c r="G75" s="33"/>
      <c r="H75" s="31"/>
      <c r="I75" s="33"/>
      <c r="J75" s="31" t="s">
        <v>295</v>
      </c>
      <c r="K75" s="31"/>
      <c r="L75" s="31"/>
      <c r="M75" s="31"/>
      <c r="N75" s="33"/>
    </row>
    <row r="76" spans="1:14" s="13" customFormat="1" ht="30.6" customHeight="1" thickBot="1" x14ac:dyDescent="0.35">
      <c r="A76" s="31" t="s">
        <v>148</v>
      </c>
      <c r="B76" s="33" t="s">
        <v>58</v>
      </c>
      <c r="C76" s="31" t="s">
        <v>338</v>
      </c>
      <c r="D76" s="31" t="s">
        <v>89</v>
      </c>
      <c r="E76" s="33"/>
      <c r="F76" s="33"/>
      <c r="G76" s="33"/>
      <c r="H76" s="31"/>
      <c r="I76" s="33"/>
      <c r="J76" s="31" t="s">
        <v>270</v>
      </c>
      <c r="K76" s="31"/>
      <c r="L76" s="31"/>
      <c r="M76" s="31"/>
      <c r="N76" s="33"/>
    </row>
    <row r="77" spans="1:14" s="13" customFormat="1" ht="30.6" customHeight="1" thickBot="1" x14ac:dyDescent="0.35">
      <c r="A77" s="31" t="s">
        <v>355</v>
      </c>
      <c r="B77" s="33" t="s">
        <v>58</v>
      </c>
      <c r="C77" s="31" t="s">
        <v>338</v>
      </c>
      <c r="D77" s="31" t="s">
        <v>89</v>
      </c>
      <c r="E77" s="33"/>
      <c r="F77" s="33"/>
      <c r="G77" s="33"/>
      <c r="H77" s="31"/>
      <c r="I77" s="33"/>
      <c r="J77" s="31" t="s">
        <v>99</v>
      </c>
      <c r="K77" s="31"/>
      <c r="L77" s="31"/>
      <c r="M77" s="31"/>
      <c r="N77" s="33"/>
    </row>
    <row r="78" spans="1:14" s="13" customFormat="1" ht="30.6" customHeight="1" thickBot="1" x14ac:dyDescent="0.35">
      <c r="A78" s="31" t="s">
        <v>108</v>
      </c>
      <c r="B78" s="33" t="s">
        <v>58</v>
      </c>
      <c r="C78" s="31" t="s">
        <v>338</v>
      </c>
      <c r="D78" s="31" t="s">
        <v>112</v>
      </c>
      <c r="E78" s="33"/>
      <c r="F78" s="33"/>
      <c r="G78" s="33"/>
      <c r="H78" s="31"/>
      <c r="I78" s="33"/>
      <c r="J78" s="31" t="s">
        <v>111</v>
      </c>
      <c r="K78" s="31"/>
      <c r="L78" s="31"/>
      <c r="M78" s="31"/>
      <c r="N78" s="33"/>
    </row>
    <row r="79" spans="1:14" s="13" customFormat="1" ht="30.6" customHeight="1" thickBot="1" x14ac:dyDescent="0.35">
      <c r="A79" s="31" t="s">
        <v>141</v>
      </c>
      <c r="B79" s="33" t="s">
        <v>58</v>
      </c>
      <c r="C79" s="31" t="s">
        <v>338</v>
      </c>
      <c r="D79" s="31" t="s">
        <v>89</v>
      </c>
      <c r="E79" s="33"/>
      <c r="F79" s="33"/>
      <c r="G79" s="33"/>
      <c r="H79" s="31"/>
      <c r="I79" s="33"/>
      <c r="J79" s="31" t="s">
        <v>243</v>
      </c>
      <c r="K79" s="31"/>
      <c r="L79" s="31"/>
      <c r="M79" s="31"/>
      <c r="N79" s="33"/>
    </row>
    <row r="80" spans="1:14" s="13" customFormat="1" ht="30.6" customHeight="1" thickBot="1" x14ac:dyDescent="0.35">
      <c r="A80" s="31" t="s">
        <v>142</v>
      </c>
      <c r="B80" s="33" t="s">
        <v>58</v>
      </c>
      <c r="C80" s="31" t="s">
        <v>338</v>
      </c>
      <c r="D80" s="31" t="s">
        <v>112</v>
      </c>
      <c r="E80" s="33"/>
      <c r="F80" s="33"/>
      <c r="G80" s="33"/>
      <c r="H80" s="31"/>
      <c r="I80" s="33"/>
      <c r="J80" s="31" t="s">
        <v>244</v>
      </c>
      <c r="K80" s="31"/>
      <c r="L80" s="31"/>
      <c r="M80" s="31"/>
      <c r="N80" s="33"/>
    </row>
    <row r="81" spans="1:14" s="13" customFormat="1" ht="30.6" customHeight="1" thickBot="1" x14ac:dyDescent="0.35">
      <c r="A81" s="31" t="s">
        <v>145</v>
      </c>
      <c r="B81" s="33" t="s">
        <v>58</v>
      </c>
      <c r="C81" s="31" t="s">
        <v>338</v>
      </c>
      <c r="D81" s="31" t="s">
        <v>112</v>
      </c>
      <c r="E81" s="33"/>
      <c r="F81" s="33"/>
      <c r="G81" s="33"/>
      <c r="H81" s="31"/>
      <c r="I81" s="33"/>
      <c r="J81" s="31" t="s">
        <v>246</v>
      </c>
      <c r="K81" s="31"/>
      <c r="L81" s="31"/>
      <c r="M81" s="31"/>
      <c r="N81" s="33"/>
    </row>
    <row r="82" spans="1:14" s="13" customFormat="1" ht="30.6" customHeight="1" thickBot="1" x14ac:dyDescent="0.35">
      <c r="A82" s="31" t="s">
        <v>115</v>
      </c>
      <c r="B82" s="33" t="s">
        <v>58</v>
      </c>
      <c r="C82" s="31" t="s">
        <v>338</v>
      </c>
      <c r="D82" s="31" t="s">
        <v>89</v>
      </c>
      <c r="E82" s="33"/>
      <c r="F82" s="33"/>
      <c r="G82" s="33"/>
      <c r="H82" s="31"/>
      <c r="I82" s="33"/>
      <c r="J82" s="31" t="s">
        <v>226</v>
      </c>
      <c r="K82" s="31"/>
      <c r="L82" s="31"/>
      <c r="M82" s="31"/>
      <c r="N82" s="33"/>
    </row>
    <row r="83" spans="1:14" s="13" customFormat="1" ht="30.6" customHeight="1" thickBot="1" x14ac:dyDescent="0.35">
      <c r="A83" s="31" t="s">
        <v>148</v>
      </c>
      <c r="B83" s="33" t="s">
        <v>58</v>
      </c>
      <c r="C83" s="31" t="s">
        <v>338</v>
      </c>
      <c r="D83" s="31" t="s">
        <v>89</v>
      </c>
      <c r="E83" s="33"/>
      <c r="F83" s="33"/>
      <c r="G83" s="33"/>
      <c r="H83" s="31"/>
      <c r="I83" s="33"/>
      <c r="J83" s="31" t="s">
        <v>247</v>
      </c>
      <c r="K83" s="31"/>
      <c r="L83" s="31"/>
      <c r="M83" s="31"/>
      <c r="N83" s="33"/>
    </row>
    <row r="84" spans="1:14" s="13" customFormat="1" ht="30.6" customHeight="1" thickBot="1" x14ac:dyDescent="0.35">
      <c r="A84" s="31" t="s">
        <v>128</v>
      </c>
      <c r="B84" s="33" t="s">
        <v>58</v>
      </c>
      <c r="C84" s="31" t="s">
        <v>338</v>
      </c>
      <c r="D84" s="31" t="s">
        <v>89</v>
      </c>
      <c r="E84" s="33"/>
      <c r="F84" s="33"/>
      <c r="G84" s="33"/>
      <c r="H84" s="31"/>
      <c r="I84" s="33"/>
      <c r="J84" s="31" t="s">
        <v>234</v>
      </c>
      <c r="K84" s="31"/>
      <c r="L84" s="31"/>
      <c r="M84" s="31"/>
      <c r="N84" s="33"/>
    </row>
    <row r="85" spans="1:14" s="13" customFormat="1" ht="30.6" customHeight="1" thickBot="1" x14ac:dyDescent="0.35">
      <c r="A85" s="31" t="s">
        <v>138</v>
      </c>
      <c r="B85" s="33" t="s">
        <v>58</v>
      </c>
      <c r="C85" s="31" t="s">
        <v>338</v>
      </c>
      <c r="D85" s="31" t="s">
        <v>89</v>
      </c>
      <c r="E85" s="33"/>
      <c r="F85" s="33"/>
      <c r="G85" s="33"/>
      <c r="H85" s="31"/>
      <c r="I85" s="33"/>
      <c r="J85" s="31" t="s">
        <v>308</v>
      </c>
      <c r="K85" s="31"/>
      <c r="L85" s="31"/>
      <c r="M85" s="31"/>
      <c r="N85" s="33"/>
    </row>
    <row r="86" spans="1:14" s="13" customFormat="1" ht="30.6" customHeight="1" thickBot="1" x14ac:dyDescent="0.35">
      <c r="A86" s="31" t="s">
        <v>68</v>
      </c>
      <c r="B86" s="33" t="s">
        <v>58</v>
      </c>
      <c r="C86" s="31" t="s">
        <v>338</v>
      </c>
      <c r="D86" s="31" t="s">
        <v>88</v>
      </c>
      <c r="E86" s="33"/>
      <c r="F86" s="33"/>
      <c r="G86" s="33"/>
      <c r="H86" s="31"/>
      <c r="I86" s="33"/>
      <c r="J86" s="31" t="s">
        <v>73</v>
      </c>
      <c r="K86" s="31"/>
      <c r="L86" s="31"/>
      <c r="M86" s="31"/>
      <c r="N86" s="33"/>
    </row>
    <row r="87" spans="1:14" s="13" customFormat="1" ht="30.6" customHeight="1" thickBot="1" x14ac:dyDescent="0.35">
      <c r="A87" s="31" t="s">
        <v>83</v>
      </c>
      <c r="B87" s="33" t="s">
        <v>58</v>
      </c>
      <c r="C87" s="31" t="s">
        <v>338</v>
      </c>
      <c r="D87" s="31" t="s">
        <v>90</v>
      </c>
      <c r="E87" s="33"/>
      <c r="F87" s="33"/>
      <c r="G87" s="33"/>
      <c r="H87" s="31"/>
      <c r="I87" s="33"/>
      <c r="J87" s="31" t="s">
        <v>91</v>
      </c>
      <c r="K87" s="31"/>
      <c r="L87" s="31"/>
      <c r="M87" s="31"/>
      <c r="N87" s="33"/>
    </row>
    <row r="88" spans="1:14" s="13" customFormat="1" ht="30.6" customHeight="1" thickBot="1" x14ac:dyDescent="0.35">
      <c r="A88" s="31" t="s">
        <v>155</v>
      </c>
      <c r="B88" s="33" t="s">
        <v>58</v>
      </c>
      <c r="C88" s="31" t="s">
        <v>338</v>
      </c>
      <c r="D88" s="31"/>
      <c r="E88" s="33"/>
      <c r="F88" s="33"/>
      <c r="G88" s="33"/>
      <c r="H88" s="31"/>
      <c r="I88" s="33"/>
      <c r="J88" s="31" t="s">
        <v>248</v>
      </c>
      <c r="K88" s="31"/>
      <c r="L88" s="31"/>
      <c r="M88" s="31"/>
      <c r="N88" s="33"/>
    </row>
    <row r="89" spans="1:14" s="13" customFormat="1" ht="30.6" customHeight="1" thickBot="1" x14ac:dyDescent="0.35">
      <c r="A89" s="31" t="s">
        <v>126</v>
      </c>
      <c r="B89" s="33" t="s">
        <v>58</v>
      </c>
      <c r="C89" s="31" t="s">
        <v>338</v>
      </c>
      <c r="D89" s="31"/>
      <c r="E89" s="33"/>
      <c r="F89" s="33"/>
      <c r="G89" s="33"/>
      <c r="H89" s="31"/>
      <c r="I89" s="33"/>
      <c r="J89" s="31" t="s">
        <v>232</v>
      </c>
      <c r="K89" s="31"/>
      <c r="L89" s="31"/>
      <c r="M89" s="31"/>
      <c r="N89" s="33"/>
    </row>
    <row r="90" spans="1:14" s="13" customFormat="1" ht="30.6" customHeight="1" thickBot="1" x14ac:dyDescent="0.35">
      <c r="A90" s="31" t="s">
        <v>156</v>
      </c>
      <c r="B90" s="33" t="s">
        <v>58</v>
      </c>
      <c r="C90" s="31" t="s">
        <v>338</v>
      </c>
      <c r="D90" s="31"/>
      <c r="E90" s="33"/>
      <c r="F90" s="33"/>
      <c r="G90" s="33"/>
      <c r="H90" s="31"/>
      <c r="I90" s="33"/>
      <c r="J90" s="31" t="s">
        <v>249</v>
      </c>
      <c r="K90" s="31"/>
      <c r="L90" s="31"/>
      <c r="M90" s="31"/>
      <c r="N90" s="33"/>
    </row>
    <row r="91" spans="1:14" s="13" customFormat="1" ht="30.6" customHeight="1" thickBot="1" x14ac:dyDescent="0.35">
      <c r="A91" s="31" t="s">
        <v>131</v>
      </c>
      <c r="B91" s="33" t="s">
        <v>58</v>
      </c>
      <c r="C91" s="31" t="s">
        <v>338</v>
      </c>
      <c r="D91" s="31" t="s">
        <v>225</v>
      </c>
      <c r="E91" s="33"/>
      <c r="F91" s="33"/>
      <c r="G91" s="33"/>
      <c r="H91" s="31"/>
      <c r="I91" s="33"/>
      <c r="J91" s="31" t="s">
        <v>237</v>
      </c>
      <c r="K91" s="31"/>
      <c r="L91" s="31"/>
      <c r="M91" s="31"/>
      <c r="N91" s="33"/>
    </row>
    <row r="92" spans="1:14" s="13" customFormat="1" ht="30.6" customHeight="1" thickBot="1" x14ac:dyDescent="0.35">
      <c r="A92" s="31" t="s">
        <v>136</v>
      </c>
      <c r="B92" s="33" t="s">
        <v>58</v>
      </c>
      <c r="C92" s="31" t="s">
        <v>338</v>
      </c>
      <c r="D92" s="31"/>
      <c r="E92" s="33"/>
      <c r="F92" s="33"/>
      <c r="G92" s="33"/>
      <c r="H92" s="31"/>
      <c r="I92" s="33"/>
      <c r="J92" s="31" t="s">
        <v>240</v>
      </c>
      <c r="K92" s="31"/>
      <c r="L92" s="31"/>
      <c r="M92" s="31"/>
      <c r="N92" s="33"/>
    </row>
    <row r="93" spans="1:14" s="13" customFormat="1" ht="30.6" customHeight="1" thickBot="1" x14ac:dyDescent="0.35">
      <c r="A93" s="31" t="s">
        <v>137</v>
      </c>
      <c r="B93" s="33" t="s">
        <v>58</v>
      </c>
      <c r="C93" s="31" t="s">
        <v>338</v>
      </c>
      <c r="D93" s="31"/>
      <c r="E93" s="33"/>
      <c r="F93" s="33"/>
      <c r="G93" s="33"/>
      <c r="H93" s="31"/>
      <c r="I93" s="33"/>
      <c r="J93" s="31" t="s">
        <v>241</v>
      </c>
      <c r="K93" s="31"/>
      <c r="L93" s="31"/>
      <c r="M93" s="31"/>
      <c r="N93" s="33"/>
    </row>
    <row r="94" spans="1:14" s="13" customFormat="1" ht="30.6" customHeight="1" thickBot="1" x14ac:dyDescent="0.35">
      <c r="A94" s="31" t="s">
        <v>122</v>
      </c>
      <c r="B94" s="33" t="s">
        <v>58</v>
      </c>
      <c r="C94" s="31" t="s">
        <v>338</v>
      </c>
      <c r="D94" s="31" t="s">
        <v>89</v>
      </c>
      <c r="E94" s="33"/>
      <c r="F94" s="33"/>
      <c r="G94" s="33"/>
      <c r="H94" s="31"/>
      <c r="I94" s="33"/>
      <c r="J94" s="31" t="s">
        <v>298</v>
      </c>
      <c r="K94" s="31"/>
      <c r="L94" s="31"/>
      <c r="M94" s="31"/>
      <c r="N94" s="33"/>
    </row>
    <row r="95" spans="1:14" s="13" customFormat="1" ht="30.6" customHeight="1" thickBot="1" x14ac:dyDescent="0.35">
      <c r="A95" s="31" t="s">
        <v>117</v>
      </c>
      <c r="B95" s="33" t="s">
        <v>58</v>
      </c>
      <c r="C95" s="31" t="s">
        <v>338</v>
      </c>
      <c r="D95" s="31" t="s">
        <v>112</v>
      </c>
      <c r="E95" s="33"/>
      <c r="F95" s="33"/>
      <c r="G95" s="33"/>
      <c r="H95" s="31"/>
      <c r="I95" s="33"/>
      <c r="J95" s="31" t="s">
        <v>227</v>
      </c>
      <c r="K95" s="31"/>
      <c r="L95" s="31"/>
      <c r="M95" s="31"/>
      <c r="N95" s="33"/>
    </row>
    <row r="96" spans="1:14" s="13" customFormat="1" ht="30.6" customHeight="1" thickBot="1" x14ac:dyDescent="0.35">
      <c r="A96" s="31" t="s">
        <v>125</v>
      </c>
      <c r="B96" s="33" t="s">
        <v>58</v>
      </c>
      <c r="C96" s="31" t="s">
        <v>338</v>
      </c>
      <c r="D96" s="31"/>
      <c r="E96" s="33"/>
      <c r="F96" s="33"/>
      <c r="G96" s="33"/>
      <c r="H96" s="31"/>
      <c r="I96" s="33"/>
      <c r="J96" s="31" t="s">
        <v>231</v>
      </c>
      <c r="K96" s="31"/>
      <c r="L96" s="31"/>
      <c r="M96" s="31"/>
      <c r="N96" s="33"/>
    </row>
    <row r="97" spans="1:14" s="13" customFormat="1" ht="30.6" customHeight="1" thickBot="1" x14ac:dyDescent="0.35">
      <c r="A97" s="31" t="s">
        <v>119</v>
      </c>
      <c r="B97" s="33" t="s">
        <v>58</v>
      </c>
      <c r="C97" s="31" t="s">
        <v>338</v>
      </c>
      <c r="D97" s="31" t="s">
        <v>89</v>
      </c>
      <c r="E97" s="33"/>
      <c r="F97" s="33"/>
      <c r="G97" s="33"/>
      <c r="H97" s="31"/>
      <c r="I97" s="33"/>
      <c r="J97" s="31" t="s">
        <v>297</v>
      </c>
      <c r="K97" s="31"/>
      <c r="L97" s="31"/>
      <c r="M97" s="31"/>
      <c r="N97" s="33"/>
    </row>
    <row r="98" spans="1:14" s="13" customFormat="1" ht="30.6" customHeight="1" thickBot="1" x14ac:dyDescent="0.35">
      <c r="A98" s="31" t="s">
        <v>121</v>
      </c>
      <c r="B98" s="33" t="s">
        <v>58</v>
      </c>
      <c r="C98" s="31" t="s">
        <v>338</v>
      </c>
      <c r="D98" s="31"/>
      <c r="E98" s="33"/>
      <c r="F98" s="33"/>
      <c r="G98" s="33"/>
      <c r="H98" s="31"/>
      <c r="I98" s="33"/>
      <c r="J98" s="31" t="s">
        <v>229</v>
      </c>
      <c r="K98" s="31"/>
      <c r="L98" s="31"/>
      <c r="M98" s="31"/>
      <c r="N98" s="33"/>
    </row>
    <row r="99" spans="1:14" s="13" customFormat="1" ht="30.6" customHeight="1" thickBot="1" x14ac:dyDescent="0.35">
      <c r="A99" s="31" t="s">
        <v>120</v>
      </c>
      <c r="B99" s="33" t="s">
        <v>58</v>
      </c>
      <c r="C99" s="31" t="s">
        <v>338</v>
      </c>
      <c r="D99" s="31"/>
      <c r="E99" s="33"/>
      <c r="F99" s="33"/>
      <c r="G99" s="33"/>
      <c r="H99" s="31"/>
      <c r="I99" s="33"/>
      <c r="J99" s="31" t="s">
        <v>228</v>
      </c>
      <c r="K99" s="31"/>
      <c r="L99" s="31"/>
      <c r="M99" s="31"/>
      <c r="N99" s="33"/>
    </row>
    <row r="100" spans="1:14" s="13" customFormat="1" ht="30.6" customHeight="1" thickBot="1" x14ac:dyDescent="0.35">
      <c r="A100" s="31" t="s">
        <v>116</v>
      </c>
      <c r="B100" s="33" t="s">
        <v>58</v>
      </c>
      <c r="C100" s="31" t="s">
        <v>338</v>
      </c>
      <c r="D100" s="31" t="s">
        <v>89</v>
      </c>
      <c r="E100" s="33"/>
      <c r="F100" s="33"/>
      <c r="G100" s="33"/>
      <c r="H100" s="31"/>
      <c r="I100" s="33"/>
      <c r="J100" s="31" t="s">
        <v>303</v>
      </c>
      <c r="K100" s="31"/>
      <c r="L100" s="31"/>
      <c r="M100" s="31"/>
      <c r="N100" s="33"/>
    </row>
    <row r="101" spans="1:14" s="13" customFormat="1" ht="30.6" customHeight="1" thickBot="1" x14ac:dyDescent="0.35">
      <c r="A101" s="31" t="s">
        <v>130</v>
      </c>
      <c r="B101" s="33" t="s">
        <v>58</v>
      </c>
      <c r="C101" s="31" t="s">
        <v>338</v>
      </c>
      <c r="D101" s="31" t="s">
        <v>112</v>
      </c>
      <c r="E101" s="33"/>
      <c r="F101" s="33"/>
      <c r="G101" s="33"/>
      <c r="H101" s="31"/>
      <c r="I101" s="33"/>
      <c r="J101" s="31" t="s">
        <v>236</v>
      </c>
      <c r="K101" s="31"/>
      <c r="L101" s="31"/>
      <c r="M101" s="31"/>
      <c r="N101" s="33"/>
    </row>
    <row r="103" spans="1:14" x14ac:dyDescent="0.3">
      <c r="I103" t="s">
        <v>359</v>
      </c>
    </row>
    <row r="104" spans="1:14" ht="15.6" x14ac:dyDescent="0.3">
      <c r="J104" s="42" t="s">
        <v>350</v>
      </c>
    </row>
    <row r="105" spans="1:14" ht="15.6" x14ac:dyDescent="0.3">
      <c r="A105" s="42" t="s">
        <v>349</v>
      </c>
      <c r="B105" s="43"/>
      <c r="C105" s="44"/>
      <c r="D105" s="45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</sheetData>
  <phoneticPr fontId="11" alignment="center"/>
  <conditionalFormatting sqref="J7:J16">
    <cfRule type="duplicateValues" dxfId="77" priority="79"/>
  </conditionalFormatting>
  <conditionalFormatting sqref="J17:J21">
    <cfRule type="duplicateValues" dxfId="76" priority="81"/>
  </conditionalFormatting>
  <conditionalFormatting sqref="J22">
    <cfRule type="duplicateValues" dxfId="75" priority="71"/>
  </conditionalFormatting>
  <conditionalFormatting sqref="J23">
    <cfRule type="duplicateValues" dxfId="74" priority="72"/>
  </conditionalFormatting>
  <conditionalFormatting sqref="J24">
    <cfRule type="duplicateValues" dxfId="73" priority="42"/>
  </conditionalFormatting>
  <conditionalFormatting sqref="J102:J103 J6:J24 J106:J1048576">
    <cfRule type="duplicateValues" dxfId="72" priority="34"/>
    <cfRule type="duplicateValues" dxfId="71" priority="35"/>
  </conditionalFormatting>
  <conditionalFormatting sqref="J25:J61">
    <cfRule type="duplicateValues" dxfId="70" priority="85"/>
  </conditionalFormatting>
  <conditionalFormatting sqref="J25:J61">
    <cfRule type="duplicateValues" dxfId="69" priority="87"/>
    <cfRule type="duplicateValues" dxfId="68" priority="88"/>
  </conditionalFormatting>
  <conditionalFormatting sqref="J1:J4">
    <cfRule type="duplicateValues" dxfId="67" priority="25"/>
  </conditionalFormatting>
  <conditionalFormatting sqref="J1:J4">
    <cfRule type="duplicateValues" dxfId="66" priority="23"/>
    <cfRule type="duplicateValues" dxfId="65" priority="24"/>
  </conditionalFormatting>
  <conditionalFormatting sqref="H105">
    <cfRule type="duplicateValues" dxfId="64" priority="9"/>
  </conditionalFormatting>
  <conditionalFormatting sqref="J62:J101">
    <cfRule type="duplicateValues" dxfId="63" priority="1"/>
  </conditionalFormatting>
  <pageMargins left="0.31496062992125984" right="0.31496062992125984" top="0.35433070866141736" bottom="0.35433070866141736" header="0.31496062992125984" footer="0.31496062992125984"/>
  <pageSetup paperSize="9" scale="61" fitToHeight="0" orientation="landscape" r:id="rId1"/>
  <rowBreaks count="3" manualBreakCount="3">
    <brk id="29" max="13" man="1"/>
    <brk id="57" max="13" man="1"/>
    <brk id="85" max="13" man="1"/>
  </row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P61"/>
  <sheetViews>
    <sheetView view="pageBreakPreview" zoomScale="60" zoomScaleNormal="100" workbookViewId="0">
      <selection activeCell="D14" sqref="D13:D14"/>
    </sheetView>
  </sheetViews>
  <sheetFormatPr baseColWidth="10" defaultColWidth="10.77734375" defaultRowHeight="14.4" x14ac:dyDescent="0.3"/>
  <cols>
    <col min="1" max="1" width="31.77734375" customWidth="1"/>
    <col min="2" max="3" width="26.109375" bestFit="1" customWidth="1"/>
    <col min="4" max="4" width="25.44140625" bestFit="1" customWidth="1"/>
    <col min="5" max="5" width="26.33203125" bestFit="1" customWidth="1"/>
  </cols>
  <sheetData>
    <row r="1" spans="1:9" ht="23.4" x14ac:dyDescent="0.3">
      <c r="A1" s="1"/>
      <c r="B1" s="39"/>
      <c r="C1" s="40" t="s">
        <v>346</v>
      </c>
    </row>
    <row r="2" spans="1:9" ht="23.4" x14ac:dyDescent="0.3">
      <c r="A2" s="1"/>
      <c r="B2" s="39"/>
      <c r="C2" s="40" t="s">
        <v>347</v>
      </c>
      <c r="I2" s="41"/>
    </row>
    <row r="3" spans="1:9" ht="23.4" x14ac:dyDescent="0.3">
      <c r="A3" s="1"/>
      <c r="B3" s="39"/>
      <c r="C3" s="40" t="s">
        <v>360</v>
      </c>
      <c r="I3" s="41"/>
    </row>
    <row r="5" spans="1:9" x14ac:dyDescent="0.3">
      <c r="A5" s="64" t="s">
        <v>351</v>
      </c>
    </row>
    <row r="6" spans="1:9" ht="23.4" x14ac:dyDescent="0.45">
      <c r="C6" s="15"/>
    </row>
    <row r="7" spans="1:9" ht="30" customHeight="1" thickBot="1" x14ac:dyDescent="0.35">
      <c r="A7" s="16" t="s">
        <v>0</v>
      </c>
      <c r="B7" s="17" t="s">
        <v>354</v>
      </c>
      <c r="C7" s="17" t="s">
        <v>19</v>
      </c>
      <c r="D7" s="17" t="s">
        <v>21</v>
      </c>
      <c r="E7" s="17" t="s">
        <v>20</v>
      </c>
    </row>
    <row r="8" spans="1:9" ht="31.8" customHeight="1" thickBot="1" x14ac:dyDescent="0.35">
      <c r="A8" s="38" t="s">
        <v>149</v>
      </c>
      <c r="B8" s="38" t="s">
        <v>158</v>
      </c>
      <c r="C8" s="62" t="s">
        <v>6</v>
      </c>
      <c r="D8" s="62" t="s">
        <v>6</v>
      </c>
      <c r="E8" s="62" t="s">
        <v>6</v>
      </c>
    </row>
    <row r="9" spans="1:9" ht="31.8" customHeight="1" thickBot="1" x14ac:dyDescent="0.35">
      <c r="A9" s="38" t="s">
        <v>154</v>
      </c>
      <c r="B9" s="38" t="s">
        <v>157</v>
      </c>
      <c r="C9" s="62" t="s">
        <v>6</v>
      </c>
      <c r="D9" s="62" t="s">
        <v>6</v>
      </c>
      <c r="E9" s="62" t="s">
        <v>6</v>
      </c>
    </row>
    <row r="10" spans="1:9" ht="31.8" customHeight="1" thickBot="1" x14ac:dyDescent="0.35">
      <c r="A10" s="38" t="s">
        <v>106</v>
      </c>
      <c r="B10" s="38" t="s">
        <v>158</v>
      </c>
      <c r="C10" s="62" t="s">
        <v>6</v>
      </c>
      <c r="D10" s="62" t="s">
        <v>6</v>
      </c>
      <c r="E10" s="62" t="s">
        <v>6</v>
      </c>
    </row>
    <row r="11" spans="1:9" ht="31.8" customHeight="1" thickBot="1" x14ac:dyDescent="0.35">
      <c r="A11" s="38" t="s">
        <v>153</v>
      </c>
      <c r="B11" s="38" t="s">
        <v>157</v>
      </c>
      <c r="C11" s="62" t="s">
        <v>6</v>
      </c>
      <c r="D11" s="62" t="s">
        <v>6</v>
      </c>
      <c r="E11" s="62" t="s">
        <v>6</v>
      </c>
    </row>
    <row r="12" spans="1:9" ht="31.8" customHeight="1" thickBot="1" x14ac:dyDescent="0.35">
      <c r="A12" s="38" t="s">
        <v>100</v>
      </c>
      <c r="B12" s="38" t="s">
        <v>157</v>
      </c>
      <c r="C12" s="62" t="s">
        <v>6</v>
      </c>
      <c r="D12" s="62" t="s">
        <v>6</v>
      </c>
      <c r="E12" s="62" t="s">
        <v>6</v>
      </c>
    </row>
    <row r="13" spans="1:9" ht="31.8" customHeight="1" thickBot="1" x14ac:dyDescent="0.35">
      <c r="A13" s="67" t="s">
        <v>9</v>
      </c>
      <c r="B13" s="38" t="s">
        <v>7</v>
      </c>
      <c r="C13" s="62" t="s">
        <v>6</v>
      </c>
      <c r="D13" s="62" t="s">
        <v>6</v>
      </c>
      <c r="E13" s="62" t="s">
        <v>6</v>
      </c>
    </row>
    <row r="14" spans="1:9" ht="31.8" customHeight="1" thickBot="1" x14ac:dyDescent="0.35">
      <c r="A14" s="38" t="s">
        <v>124</v>
      </c>
      <c r="B14" s="38" t="s">
        <v>157</v>
      </c>
      <c r="C14" s="62" t="s">
        <v>6</v>
      </c>
      <c r="D14" s="62" t="s">
        <v>6</v>
      </c>
      <c r="E14" s="62" t="s">
        <v>6</v>
      </c>
    </row>
    <row r="15" spans="1:9" ht="31.8" customHeight="1" thickBot="1" x14ac:dyDescent="0.35">
      <c r="A15" s="38" t="s">
        <v>133</v>
      </c>
      <c r="B15" s="38" t="s">
        <v>157</v>
      </c>
      <c r="C15" s="62" t="s">
        <v>6</v>
      </c>
      <c r="D15" s="62" t="s">
        <v>6</v>
      </c>
      <c r="E15" s="62" t="s">
        <v>6</v>
      </c>
    </row>
    <row r="16" spans="1:9" ht="31.8" customHeight="1" thickBot="1" x14ac:dyDescent="0.35">
      <c r="A16" s="38" t="s">
        <v>139</v>
      </c>
      <c r="B16" s="38" t="s">
        <v>157</v>
      </c>
      <c r="C16" s="62" t="s">
        <v>6</v>
      </c>
      <c r="D16" s="62" t="s">
        <v>6</v>
      </c>
      <c r="E16" s="62" t="s">
        <v>6</v>
      </c>
    </row>
    <row r="17" spans="1:5" ht="31.8" customHeight="1" thickBot="1" x14ac:dyDescent="0.35">
      <c r="A17" s="38" t="s">
        <v>144</v>
      </c>
      <c r="B17" s="38" t="s">
        <v>158</v>
      </c>
      <c r="C17" s="62" t="s">
        <v>6</v>
      </c>
      <c r="D17" s="62" t="s">
        <v>6</v>
      </c>
      <c r="E17" s="62" t="s">
        <v>6</v>
      </c>
    </row>
    <row r="18" spans="1:5" ht="31.8" customHeight="1" thickBot="1" x14ac:dyDescent="0.35">
      <c r="A18" s="38" t="s">
        <v>132</v>
      </c>
      <c r="B18" s="38" t="s">
        <v>157</v>
      </c>
      <c r="C18" s="62" t="s">
        <v>6</v>
      </c>
      <c r="D18" s="62" t="s">
        <v>6</v>
      </c>
      <c r="E18" s="62" t="s">
        <v>6</v>
      </c>
    </row>
    <row r="19" spans="1:5" ht="31.8" customHeight="1" thickBot="1" x14ac:dyDescent="0.35">
      <c r="A19" s="38" t="s">
        <v>9</v>
      </c>
      <c r="B19" s="38" t="s">
        <v>158</v>
      </c>
      <c r="C19" s="62" t="s">
        <v>6</v>
      </c>
      <c r="D19" s="62" t="s">
        <v>6</v>
      </c>
      <c r="E19" s="62" t="s">
        <v>6</v>
      </c>
    </row>
    <row r="20" spans="1:5" ht="31.8" customHeight="1" thickBot="1" x14ac:dyDescent="0.35">
      <c r="A20" s="38" t="s">
        <v>143</v>
      </c>
      <c r="B20" s="38" t="s">
        <v>157</v>
      </c>
      <c r="C20" s="62" t="s">
        <v>6</v>
      </c>
      <c r="D20" s="62" t="s">
        <v>6</v>
      </c>
      <c r="E20" s="62" t="s">
        <v>6</v>
      </c>
    </row>
    <row r="21" spans="1:5" ht="31.8" customHeight="1" thickBot="1" x14ac:dyDescent="0.35">
      <c r="A21" s="38" t="s">
        <v>129</v>
      </c>
      <c r="B21" s="38" t="s">
        <v>157</v>
      </c>
      <c r="C21" s="62" t="s">
        <v>6</v>
      </c>
      <c r="D21" s="62" t="s">
        <v>6</v>
      </c>
      <c r="E21" s="62" t="s">
        <v>6</v>
      </c>
    </row>
    <row r="22" spans="1:5" ht="31.8" customHeight="1" thickBot="1" x14ac:dyDescent="0.35">
      <c r="A22" s="38" t="s">
        <v>127</v>
      </c>
      <c r="B22" s="38" t="s">
        <v>157</v>
      </c>
      <c r="C22" s="62" t="s">
        <v>6</v>
      </c>
      <c r="D22" s="62" t="s">
        <v>6</v>
      </c>
      <c r="E22" s="62" t="s">
        <v>6</v>
      </c>
    </row>
    <row r="23" spans="1:5" ht="31.8" customHeight="1" thickBot="1" x14ac:dyDescent="0.35">
      <c r="A23" s="38" t="s">
        <v>135</v>
      </c>
      <c r="B23" s="38" t="s">
        <v>157</v>
      </c>
      <c r="C23" s="62" t="s">
        <v>6</v>
      </c>
      <c r="D23" s="62" t="s">
        <v>6</v>
      </c>
      <c r="E23" s="62" t="s">
        <v>6</v>
      </c>
    </row>
    <row r="24" spans="1:5" ht="31.8" customHeight="1" thickBot="1" x14ac:dyDescent="0.35">
      <c r="A24" s="38" t="s">
        <v>148</v>
      </c>
      <c r="B24" s="38" t="s">
        <v>158</v>
      </c>
      <c r="C24" s="62" t="s">
        <v>6</v>
      </c>
      <c r="D24" s="62" t="s">
        <v>6</v>
      </c>
      <c r="E24" s="62" t="s">
        <v>6</v>
      </c>
    </row>
    <row r="25" spans="1:5" ht="31.8" customHeight="1" thickBot="1" x14ac:dyDescent="0.35">
      <c r="A25" s="38" t="s">
        <v>355</v>
      </c>
      <c r="B25" s="38" t="s">
        <v>157</v>
      </c>
      <c r="C25" s="62" t="s">
        <v>6</v>
      </c>
      <c r="D25" s="62" t="s">
        <v>6</v>
      </c>
      <c r="E25" s="62" t="s">
        <v>6</v>
      </c>
    </row>
    <row r="26" spans="1:5" ht="31.8" customHeight="1" thickBot="1" x14ac:dyDescent="0.35">
      <c r="A26" s="38" t="s">
        <v>108</v>
      </c>
      <c r="B26" s="38" t="s">
        <v>157</v>
      </c>
      <c r="C26" s="62" t="s">
        <v>6</v>
      </c>
      <c r="D26" s="62" t="s">
        <v>6</v>
      </c>
      <c r="E26" s="62" t="s">
        <v>6</v>
      </c>
    </row>
    <row r="27" spans="1:5" ht="31.8" customHeight="1" thickBot="1" x14ac:dyDescent="0.35">
      <c r="A27" s="38" t="s">
        <v>141</v>
      </c>
      <c r="B27" s="38" t="s">
        <v>157</v>
      </c>
      <c r="C27" s="62" t="s">
        <v>6</v>
      </c>
      <c r="D27" s="62" t="s">
        <v>6</v>
      </c>
      <c r="E27" s="62" t="s">
        <v>6</v>
      </c>
    </row>
    <row r="28" spans="1:5" ht="31.8" customHeight="1" thickBot="1" x14ac:dyDescent="0.35">
      <c r="A28" s="38" t="s">
        <v>142</v>
      </c>
      <c r="B28" s="38" t="s">
        <v>157</v>
      </c>
      <c r="C28" s="62" t="s">
        <v>6</v>
      </c>
      <c r="D28" s="62" t="s">
        <v>6</v>
      </c>
      <c r="E28" s="62" t="s">
        <v>6</v>
      </c>
    </row>
    <row r="29" spans="1:5" ht="31.8" customHeight="1" thickBot="1" x14ac:dyDescent="0.35">
      <c r="A29" s="38" t="s">
        <v>144</v>
      </c>
      <c r="B29" s="38" t="s">
        <v>157</v>
      </c>
      <c r="C29" s="62" t="s">
        <v>6</v>
      </c>
      <c r="D29" s="62" t="s">
        <v>6</v>
      </c>
      <c r="E29" s="62" t="s">
        <v>6</v>
      </c>
    </row>
    <row r="30" spans="1:5" ht="31.8" customHeight="1" thickBot="1" x14ac:dyDescent="0.35">
      <c r="A30" s="38" t="s">
        <v>146</v>
      </c>
      <c r="B30" s="38" t="s">
        <v>157</v>
      </c>
      <c r="C30" s="62" t="s">
        <v>6</v>
      </c>
      <c r="D30" s="62" t="s">
        <v>6</v>
      </c>
      <c r="E30" s="62" t="s">
        <v>6</v>
      </c>
    </row>
    <row r="31" spans="1:5" ht="31.8" customHeight="1" thickBot="1" x14ac:dyDescent="0.35">
      <c r="A31" s="38" t="s">
        <v>145</v>
      </c>
      <c r="B31" s="38" t="s">
        <v>157</v>
      </c>
      <c r="C31" s="62" t="s">
        <v>6</v>
      </c>
      <c r="D31" s="62" t="s">
        <v>6</v>
      </c>
      <c r="E31" s="62" t="s">
        <v>6</v>
      </c>
    </row>
    <row r="32" spans="1:5" ht="31.8" customHeight="1" thickBot="1" x14ac:dyDescent="0.35">
      <c r="A32" s="38" t="s">
        <v>115</v>
      </c>
      <c r="B32" s="38" t="s">
        <v>157</v>
      </c>
      <c r="C32" s="62" t="s">
        <v>6</v>
      </c>
      <c r="D32" s="62" t="s">
        <v>6</v>
      </c>
      <c r="E32" s="62" t="s">
        <v>6</v>
      </c>
    </row>
    <row r="33" spans="1:5" ht="31.8" customHeight="1" thickBot="1" x14ac:dyDescent="0.35">
      <c r="A33" s="38" t="s">
        <v>140</v>
      </c>
      <c r="B33" s="38" t="s">
        <v>157</v>
      </c>
      <c r="C33" s="62" t="s">
        <v>6</v>
      </c>
      <c r="D33" s="62" t="s">
        <v>6</v>
      </c>
      <c r="E33" s="62" t="s">
        <v>6</v>
      </c>
    </row>
    <row r="34" spans="1:5" ht="31.8" customHeight="1" thickBot="1" x14ac:dyDescent="0.35">
      <c r="A34" s="38" t="s">
        <v>128</v>
      </c>
      <c r="B34" s="38" t="s">
        <v>157</v>
      </c>
      <c r="C34" s="62" t="s">
        <v>6</v>
      </c>
      <c r="D34" s="62" t="s">
        <v>6</v>
      </c>
      <c r="E34" s="62" t="s">
        <v>6</v>
      </c>
    </row>
    <row r="35" spans="1:5" ht="31.8" customHeight="1" thickBot="1" x14ac:dyDescent="0.35">
      <c r="A35" s="38" t="s">
        <v>68</v>
      </c>
      <c r="B35" s="38" t="s">
        <v>157</v>
      </c>
      <c r="C35" s="62" t="s">
        <v>6</v>
      </c>
      <c r="D35" s="62" t="s">
        <v>6</v>
      </c>
      <c r="E35" s="62" t="s">
        <v>6</v>
      </c>
    </row>
    <row r="36" spans="1:5" ht="31.8" customHeight="1" thickBot="1" x14ac:dyDescent="0.35">
      <c r="A36" s="38" t="s">
        <v>83</v>
      </c>
      <c r="B36" s="38" t="s">
        <v>157</v>
      </c>
      <c r="C36" s="62" t="s">
        <v>6</v>
      </c>
      <c r="D36" s="62" t="s">
        <v>6</v>
      </c>
      <c r="E36" s="62" t="s">
        <v>6</v>
      </c>
    </row>
    <row r="37" spans="1:5" ht="31.8" customHeight="1" thickBot="1" x14ac:dyDescent="0.35">
      <c r="A37" s="38" t="s">
        <v>152</v>
      </c>
      <c r="B37" s="38" t="s">
        <v>157</v>
      </c>
      <c r="C37" s="62" t="s">
        <v>6</v>
      </c>
      <c r="D37" s="62" t="s">
        <v>6</v>
      </c>
      <c r="E37" s="62" t="s">
        <v>6</v>
      </c>
    </row>
    <row r="38" spans="1:5" ht="31.8" customHeight="1" thickBot="1" x14ac:dyDescent="0.35">
      <c r="A38" s="38" t="s">
        <v>150</v>
      </c>
      <c r="B38" s="38" t="s">
        <v>158</v>
      </c>
      <c r="C38" s="62" t="s">
        <v>6</v>
      </c>
      <c r="D38" s="62" t="s">
        <v>6</v>
      </c>
      <c r="E38" s="62" t="s">
        <v>6</v>
      </c>
    </row>
    <row r="39" spans="1:5" ht="31.8" customHeight="1" thickBot="1" x14ac:dyDescent="0.35">
      <c r="A39" s="38" t="s">
        <v>146</v>
      </c>
      <c r="B39" s="38" t="s">
        <v>158</v>
      </c>
      <c r="C39" s="62" t="s">
        <v>6</v>
      </c>
      <c r="D39" s="62" t="s">
        <v>6</v>
      </c>
      <c r="E39" s="62" t="s">
        <v>6</v>
      </c>
    </row>
    <row r="40" spans="1:5" ht="31.8" customHeight="1" thickBot="1" x14ac:dyDescent="0.35">
      <c r="A40" s="38" t="s">
        <v>364</v>
      </c>
      <c r="B40" s="38" t="s">
        <v>158</v>
      </c>
      <c r="C40" s="62" t="s">
        <v>6</v>
      </c>
      <c r="D40" s="62" t="s">
        <v>6</v>
      </c>
      <c r="E40" s="62" t="s">
        <v>6</v>
      </c>
    </row>
    <row r="41" spans="1:5" ht="31.8" customHeight="1" thickBot="1" x14ac:dyDescent="0.35">
      <c r="A41" s="38" t="s">
        <v>155</v>
      </c>
      <c r="B41" s="38" t="s">
        <v>157</v>
      </c>
      <c r="C41" s="62" t="s">
        <v>6</v>
      </c>
      <c r="D41" s="62" t="s">
        <v>6</v>
      </c>
      <c r="E41" s="62" t="s">
        <v>6</v>
      </c>
    </row>
    <row r="42" spans="1:5" ht="31.8" customHeight="1" thickBot="1" x14ac:dyDescent="0.35">
      <c r="A42" s="38" t="s">
        <v>126</v>
      </c>
      <c r="B42" s="38" t="s">
        <v>157</v>
      </c>
      <c r="C42" s="62" t="s">
        <v>6</v>
      </c>
      <c r="D42" s="62" t="s">
        <v>6</v>
      </c>
      <c r="E42" s="62" t="s">
        <v>6</v>
      </c>
    </row>
    <row r="43" spans="1:5" ht="31.8" customHeight="1" thickBot="1" x14ac:dyDescent="0.35">
      <c r="A43" s="38" t="s">
        <v>156</v>
      </c>
      <c r="B43" s="38" t="s">
        <v>157</v>
      </c>
      <c r="C43" s="62" t="s">
        <v>6</v>
      </c>
      <c r="D43" s="62" t="s">
        <v>6</v>
      </c>
      <c r="E43" s="62" t="s">
        <v>6</v>
      </c>
    </row>
    <row r="44" spans="1:5" ht="31.8" customHeight="1" thickBot="1" x14ac:dyDescent="0.35">
      <c r="A44" s="38" t="s">
        <v>131</v>
      </c>
      <c r="B44" s="38" t="s">
        <v>157</v>
      </c>
      <c r="C44" s="62" t="s">
        <v>6</v>
      </c>
      <c r="D44" s="62" t="s">
        <v>6</v>
      </c>
      <c r="E44" s="62" t="s">
        <v>6</v>
      </c>
    </row>
    <row r="45" spans="1:5" ht="31.8" customHeight="1" thickBot="1" x14ac:dyDescent="0.35">
      <c r="A45" s="38" t="s">
        <v>134</v>
      </c>
      <c r="B45" s="38" t="s">
        <v>157</v>
      </c>
      <c r="C45" s="62" t="s">
        <v>6</v>
      </c>
      <c r="D45" s="62" t="s">
        <v>6</v>
      </c>
      <c r="E45" s="62" t="s">
        <v>6</v>
      </c>
    </row>
    <row r="46" spans="1:5" ht="31.8" customHeight="1" thickBot="1" x14ac:dyDescent="0.35">
      <c r="A46" s="38" t="s">
        <v>138</v>
      </c>
      <c r="B46" s="38" t="s">
        <v>157</v>
      </c>
      <c r="C46" s="62" t="s">
        <v>6</v>
      </c>
      <c r="D46" s="62" t="s">
        <v>6</v>
      </c>
      <c r="E46" s="62" t="s">
        <v>6</v>
      </c>
    </row>
    <row r="47" spans="1:5" ht="31.8" customHeight="1" thickBot="1" x14ac:dyDescent="0.35">
      <c r="A47" s="38" t="s">
        <v>136</v>
      </c>
      <c r="B47" s="38" t="s">
        <v>157</v>
      </c>
      <c r="C47" s="62" t="s">
        <v>6</v>
      </c>
      <c r="D47" s="62" t="s">
        <v>6</v>
      </c>
      <c r="E47" s="62" t="s">
        <v>6</v>
      </c>
    </row>
    <row r="48" spans="1:5" ht="31.8" customHeight="1" thickBot="1" x14ac:dyDescent="0.35">
      <c r="A48" s="38" t="s">
        <v>137</v>
      </c>
      <c r="B48" s="38" t="s">
        <v>157</v>
      </c>
      <c r="C48" s="62" t="s">
        <v>6</v>
      </c>
      <c r="D48" s="62" t="s">
        <v>6</v>
      </c>
      <c r="E48" s="62" t="s">
        <v>6</v>
      </c>
    </row>
    <row r="49" spans="1:16" ht="31.8" customHeight="1" thickBot="1" x14ac:dyDescent="0.35">
      <c r="A49" s="38" t="s">
        <v>122</v>
      </c>
      <c r="B49" s="38" t="s">
        <v>157</v>
      </c>
      <c r="C49" s="62" t="s">
        <v>6</v>
      </c>
      <c r="D49" s="62" t="s">
        <v>6</v>
      </c>
      <c r="E49" s="62" t="s">
        <v>6</v>
      </c>
    </row>
    <row r="50" spans="1:16" ht="31.8" customHeight="1" thickBot="1" x14ac:dyDescent="0.35">
      <c r="A50" s="38" t="s">
        <v>117</v>
      </c>
      <c r="B50" s="38" t="s">
        <v>157</v>
      </c>
      <c r="C50" s="62" t="s">
        <v>6</v>
      </c>
      <c r="D50" s="62" t="s">
        <v>6</v>
      </c>
      <c r="E50" s="62" t="s">
        <v>6</v>
      </c>
    </row>
    <row r="51" spans="1:16" ht="31.8" customHeight="1" thickBot="1" x14ac:dyDescent="0.35">
      <c r="A51" s="38" t="s">
        <v>125</v>
      </c>
      <c r="B51" s="38" t="s">
        <v>157</v>
      </c>
      <c r="C51" s="62" t="s">
        <v>6</v>
      </c>
      <c r="D51" s="62" t="s">
        <v>6</v>
      </c>
      <c r="E51" s="62" t="s">
        <v>6</v>
      </c>
    </row>
    <row r="52" spans="1:16" ht="31.8" customHeight="1" thickBot="1" x14ac:dyDescent="0.35">
      <c r="A52" s="38" t="s">
        <v>119</v>
      </c>
      <c r="B52" s="38" t="s">
        <v>157</v>
      </c>
      <c r="C52" s="62" t="s">
        <v>6</v>
      </c>
      <c r="D52" s="62" t="s">
        <v>6</v>
      </c>
      <c r="E52" s="62" t="s">
        <v>6</v>
      </c>
    </row>
    <row r="53" spans="1:16" ht="31.8" customHeight="1" thickBot="1" x14ac:dyDescent="0.35">
      <c r="A53" s="38" t="s">
        <v>123</v>
      </c>
      <c r="B53" s="38" t="s">
        <v>158</v>
      </c>
      <c r="C53" s="62" t="s">
        <v>6</v>
      </c>
      <c r="D53" s="62" t="s">
        <v>6</v>
      </c>
      <c r="E53" s="62" t="s">
        <v>6</v>
      </c>
    </row>
    <row r="54" spans="1:16" ht="31.8" customHeight="1" thickBot="1" x14ac:dyDescent="0.35">
      <c r="A54" s="38" t="s">
        <v>121</v>
      </c>
      <c r="B54" s="38" t="s">
        <v>157</v>
      </c>
      <c r="C54" s="62" t="s">
        <v>6</v>
      </c>
      <c r="D54" s="62" t="s">
        <v>6</v>
      </c>
      <c r="E54" s="62" t="s">
        <v>6</v>
      </c>
    </row>
    <row r="55" spans="1:16" ht="31.8" customHeight="1" thickBot="1" x14ac:dyDescent="0.35">
      <c r="A55" s="38" t="s">
        <v>120</v>
      </c>
      <c r="B55" s="38" t="s">
        <v>157</v>
      </c>
      <c r="C55" s="62" t="s">
        <v>6</v>
      </c>
      <c r="D55" s="62" t="s">
        <v>6</v>
      </c>
      <c r="E55" s="62" t="s">
        <v>6</v>
      </c>
    </row>
    <row r="56" spans="1:16" ht="31.8" customHeight="1" thickBot="1" x14ac:dyDescent="0.35">
      <c r="A56" s="38" t="s">
        <v>118</v>
      </c>
      <c r="B56" s="38" t="s">
        <v>157</v>
      </c>
      <c r="C56" s="62" t="s">
        <v>6</v>
      </c>
      <c r="D56" s="62" t="s">
        <v>6</v>
      </c>
      <c r="E56" s="62" t="s">
        <v>6</v>
      </c>
    </row>
    <row r="57" spans="1:16" ht="31.8" customHeight="1" thickBot="1" x14ac:dyDescent="0.35">
      <c r="A57" s="38" t="s">
        <v>151</v>
      </c>
      <c r="B57" s="38" t="s">
        <v>157</v>
      </c>
      <c r="C57" s="62" t="s">
        <v>6</v>
      </c>
      <c r="D57" s="62" t="s">
        <v>6</v>
      </c>
      <c r="E57" s="62" t="s">
        <v>6</v>
      </c>
    </row>
    <row r="58" spans="1:16" ht="31.8" customHeight="1" thickBot="1" x14ac:dyDescent="0.35">
      <c r="A58" s="38" t="s">
        <v>116</v>
      </c>
      <c r="B58" s="38" t="s">
        <v>157</v>
      </c>
      <c r="C58" s="62" t="s">
        <v>6</v>
      </c>
      <c r="D58" s="62" t="s">
        <v>6</v>
      </c>
      <c r="E58" s="62" t="s">
        <v>6</v>
      </c>
    </row>
    <row r="59" spans="1:16" ht="31.8" customHeight="1" thickBot="1" x14ac:dyDescent="0.35">
      <c r="A59" s="63" t="s">
        <v>130</v>
      </c>
      <c r="B59" s="38" t="s">
        <v>157</v>
      </c>
      <c r="C59" s="62" t="s">
        <v>6</v>
      </c>
      <c r="D59" s="62" t="s">
        <v>6</v>
      </c>
      <c r="E59" s="62" t="s">
        <v>6</v>
      </c>
    </row>
    <row r="61" spans="1:16" s="44" customFormat="1" ht="15.6" x14ac:dyDescent="0.3">
      <c r="A61" s="42" t="s">
        <v>349</v>
      </c>
      <c r="B61" s="43"/>
      <c r="C61" s="43"/>
      <c r="D61" s="42" t="s">
        <v>350</v>
      </c>
      <c r="G61" s="45"/>
      <c r="P61" s="42"/>
    </row>
  </sheetData>
  <mergeCells count="1">
    <mergeCell ref="A1:A3"/>
  </mergeCells>
  <conditionalFormatting sqref="Q1:Q3">
    <cfRule type="duplicateValues" dxfId="16" priority="6"/>
  </conditionalFormatting>
  <conditionalFormatting sqref="L1:L3">
    <cfRule type="duplicateValues" dxfId="15" priority="5"/>
  </conditionalFormatting>
  <conditionalFormatting sqref="K61">
    <cfRule type="duplicateValues" dxfId="14" priority="4"/>
  </conditionalFormatting>
  <conditionalFormatting sqref="A1:A7 A60:A1048576">
    <cfRule type="duplicateValues" dxfId="13" priority="3"/>
  </conditionalFormatting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B1:Q21"/>
  <sheetViews>
    <sheetView view="pageBreakPreview" zoomScale="60" zoomScaleNormal="100" workbookViewId="0">
      <selection activeCell="B8" sqref="B8:B16"/>
    </sheetView>
  </sheetViews>
  <sheetFormatPr baseColWidth="10" defaultColWidth="10.77734375" defaultRowHeight="14.4" x14ac:dyDescent="0.3"/>
  <cols>
    <col min="2" max="2" width="22.5546875" customWidth="1"/>
    <col min="3" max="3" width="22" customWidth="1"/>
    <col min="4" max="4" width="30.33203125" customWidth="1"/>
    <col min="5" max="5" width="22.5546875" bestFit="1" customWidth="1"/>
    <col min="6" max="6" width="24.5546875" bestFit="1" customWidth="1"/>
    <col min="7" max="7" width="18.6640625" bestFit="1" customWidth="1"/>
    <col min="9" max="9" width="14" customWidth="1"/>
    <col min="10" max="10" width="16.88671875" customWidth="1"/>
    <col min="11" max="11" width="19.109375" customWidth="1"/>
    <col min="12" max="12" width="25.5546875" customWidth="1"/>
  </cols>
  <sheetData>
    <row r="1" spans="2:10" ht="21" x14ac:dyDescent="0.3">
      <c r="B1" s="1"/>
      <c r="C1" s="39"/>
      <c r="D1" s="46" t="s">
        <v>346</v>
      </c>
    </row>
    <row r="2" spans="2:10" ht="21" x14ac:dyDescent="0.3">
      <c r="B2" s="1"/>
      <c r="C2" s="39"/>
      <c r="D2" s="46" t="s">
        <v>347</v>
      </c>
      <c r="J2" s="41"/>
    </row>
    <row r="3" spans="2:10" ht="21" x14ac:dyDescent="0.3">
      <c r="B3" s="1"/>
      <c r="C3" s="39"/>
      <c r="D3" s="46" t="s">
        <v>360</v>
      </c>
      <c r="J3" s="41"/>
    </row>
    <row r="5" spans="2:10" x14ac:dyDescent="0.3">
      <c r="B5" s="64" t="s">
        <v>351</v>
      </c>
    </row>
    <row r="7" spans="2:10" ht="22.5" customHeight="1" thickBot="1" x14ac:dyDescent="0.35">
      <c r="B7" s="65" t="s">
        <v>309</v>
      </c>
      <c r="C7" s="65" t="s">
        <v>310</v>
      </c>
      <c r="D7" s="65" t="s">
        <v>311</v>
      </c>
      <c r="E7" s="65" t="s">
        <v>358</v>
      </c>
    </row>
    <row r="8" spans="2:10" ht="33.6" customHeight="1" thickBot="1" x14ac:dyDescent="0.35">
      <c r="B8" s="66" t="s">
        <v>59</v>
      </c>
      <c r="C8" s="66" t="s">
        <v>312</v>
      </c>
      <c r="D8" s="66" t="s">
        <v>313</v>
      </c>
      <c r="E8" s="66">
        <v>3946673101</v>
      </c>
    </row>
    <row r="9" spans="2:10" ht="33.6" customHeight="1" thickBot="1" x14ac:dyDescent="0.35">
      <c r="B9" s="66" t="s">
        <v>59</v>
      </c>
      <c r="C9" s="66" t="s">
        <v>318</v>
      </c>
      <c r="D9" s="66" t="s">
        <v>319</v>
      </c>
      <c r="E9" s="66" t="s">
        <v>43</v>
      </c>
    </row>
    <row r="10" spans="2:10" ht="33.6" customHeight="1" thickBot="1" x14ac:dyDescent="0.35">
      <c r="B10" s="66" t="s">
        <v>59</v>
      </c>
      <c r="C10" s="66" t="s">
        <v>318</v>
      </c>
      <c r="D10" s="66" t="s">
        <v>322</v>
      </c>
      <c r="E10" s="66" t="s">
        <v>66</v>
      </c>
    </row>
    <row r="11" spans="2:10" ht="33.6" customHeight="1" thickBot="1" x14ac:dyDescent="0.35">
      <c r="B11" s="66" t="s">
        <v>59</v>
      </c>
      <c r="C11" s="66" t="s">
        <v>312</v>
      </c>
      <c r="D11" s="66" t="s">
        <v>324</v>
      </c>
      <c r="E11" s="66">
        <v>5322544890</v>
      </c>
    </row>
    <row r="12" spans="2:10" ht="33.6" customHeight="1" thickBot="1" x14ac:dyDescent="0.35">
      <c r="B12" s="66" t="s">
        <v>59</v>
      </c>
      <c r="C12" s="66" t="s">
        <v>29</v>
      </c>
      <c r="D12" s="66" t="s">
        <v>326</v>
      </c>
      <c r="E12" s="66" t="s">
        <v>327</v>
      </c>
    </row>
    <row r="13" spans="2:10" ht="33.6" customHeight="1" thickBot="1" x14ac:dyDescent="0.35">
      <c r="B13" s="66" t="s">
        <v>59</v>
      </c>
      <c r="C13" s="66" t="s">
        <v>312</v>
      </c>
      <c r="D13" s="66" t="s">
        <v>324</v>
      </c>
      <c r="E13" s="66">
        <v>5322548100</v>
      </c>
    </row>
    <row r="14" spans="2:10" ht="33.6" customHeight="1" thickBot="1" x14ac:dyDescent="0.35">
      <c r="B14" s="66" t="s">
        <v>59</v>
      </c>
      <c r="C14" s="66" t="s">
        <v>312</v>
      </c>
      <c r="D14" s="66" t="s">
        <v>324</v>
      </c>
      <c r="E14" s="66">
        <v>5322545020</v>
      </c>
    </row>
    <row r="15" spans="2:10" ht="33.6" customHeight="1" thickBot="1" x14ac:dyDescent="0.35">
      <c r="B15" s="66" t="s">
        <v>59</v>
      </c>
      <c r="C15" s="66" t="s">
        <v>312</v>
      </c>
      <c r="D15" s="66" t="s">
        <v>313</v>
      </c>
      <c r="E15" s="66">
        <v>3946673330</v>
      </c>
    </row>
    <row r="16" spans="2:10" ht="33.6" customHeight="1" thickBot="1" x14ac:dyDescent="0.35">
      <c r="B16" s="66" t="s">
        <v>59</v>
      </c>
      <c r="C16" s="66" t="s">
        <v>312</v>
      </c>
      <c r="D16" s="66" t="s">
        <v>341</v>
      </c>
      <c r="E16" s="66">
        <v>3399731657</v>
      </c>
    </row>
    <row r="17" spans="2:17" ht="33.6" customHeight="1" thickBot="1" x14ac:dyDescent="0.35">
      <c r="B17" s="66" t="s">
        <v>332</v>
      </c>
      <c r="C17" s="66" t="s">
        <v>339</v>
      </c>
      <c r="D17" s="66" t="s">
        <v>342</v>
      </c>
      <c r="E17" s="66" t="s">
        <v>333</v>
      </c>
    </row>
    <row r="18" spans="2:17" ht="33.6" customHeight="1" thickBot="1" x14ac:dyDescent="0.35">
      <c r="B18" s="66" t="s">
        <v>332</v>
      </c>
      <c r="C18" s="66" t="s">
        <v>312</v>
      </c>
      <c r="D18" s="66" t="s">
        <v>334</v>
      </c>
      <c r="E18" s="66">
        <v>3365138140</v>
      </c>
    </row>
    <row r="19" spans="2:17" ht="33.6" customHeight="1" thickBot="1" x14ac:dyDescent="0.35">
      <c r="B19" s="66" t="s">
        <v>25</v>
      </c>
      <c r="C19" s="66" t="s">
        <v>340</v>
      </c>
      <c r="D19" s="66" t="s">
        <v>335</v>
      </c>
      <c r="E19" s="66" t="s">
        <v>336</v>
      </c>
    </row>
    <row r="21" spans="2:17" s="44" customFormat="1" ht="15.6" x14ac:dyDescent="0.3">
      <c r="B21" s="42" t="s">
        <v>349</v>
      </c>
      <c r="C21" s="43"/>
      <c r="D21" s="43"/>
      <c r="E21" s="42" t="s">
        <v>350</v>
      </c>
      <c r="H21" s="45"/>
      <c r="Q21" s="42"/>
    </row>
  </sheetData>
  <autoFilter ref="B7:E19" xr:uid="{8609011C-7726-4147-B87D-ADAA7F277AAA}"/>
  <mergeCells count="1">
    <mergeCell ref="B1:B3"/>
  </mergeCells>
  <conditionalFormatting sqref="R1:R3">
    <cfRule type="duplicateValues" dxfId="33" priority="3"/>
  </conditionalFormatting>
  <conditionalFormatting sqref="M1:M3">
    <cfRule type="duplicateValues" dxfId="32" priority="2"/>
  </conditionalFormatting>
  <conditionalFormatting sqref="L21">
    <cfRule type="duplicateValues" dxfId="31" priority="1"/>
  </conditionalFormatting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6A16-F6B4-4063-A316-B522F86C54E7}">
  <sheetPr>
    <pageSetUpPr fitToPage="1"/>
  </sheetPr>
  <dimension ref="A1:P15"/>
  <sheetViews>
    <sheetView tabSelected="1" view="pageBreakPreview" zoomScale="60" zoomScaleNormal="100" workbookViewId="0">
      <selection activeCell="D30" sqref="D30"/>
    </sheetView>
  </sheetViews>
  <sheetFormatPr baseColWidth="10" defaultColWidth="10.77734375" defaultRowHeight="14.4" x14ac:dyDescent="0.3"/>
  <cols>
    <col min="1" max="1" width="16.44140625" customWidth="1"/>
    <col min="2" max="2" width="27.33203125" customWidth="1"/>
    <col min="3" max="3" width="16.88671875" customWidth="1"/>
    <col min="4" max="4" width="34.88671875" customWidth="1"/>
    <col min="5" max="5" width="22.88671875" customWidth="1"/>
    <col min="6" max="6" width="19.109375" bestFit="1" customWidth="1"/>
  </cols>
  <sheetData>
    <row r="1" spans="1:16" ht="18" customHeight="1" x14ac:dyDescent="0.3">
      <c r="D1" s="47" t="s">
        <v>346</v>
      </c>
    </row>
    <row r="2" spans="1:16" ht="18" customHeight="1" x14ac:dyDescent="0.3">
      <c r="D2" s="47" t="s">
        <v>347</v>
      </c>
    </row>
    <row r="3" spans="1:16" ht="18" customHeight="1" x14ac:dyDescent="0.3">
      <c r="D3" s="47" t="s">
        <v>361</v>
      </c>
    </row>
    <row r="6" spans="1:16" ht="15" thickBot="1" x14ac:dyDescent="0.35">
      <c r="A6" s="48" t="s">
        <v>353</v>
      </c>
      <c r="B6" s="48"/>
    </row>
    <row r="7" spans="1:16" ht="44.4" customHeight="1" thickBot="1" x14ac:dyDescent="0.35">
      <c r="B7" s="3" t="s">
        <v>24</v>
      </c>
      <c r="C7" s="3" t="s">
        <v>30</v>
      </c>
      <c r="D7" s="3" t="s">
        <v>23</v>
      </c>
      <c r="E7" s="3" t="s">
        <v>352</v>
      </c>
    </row>
    <row r="8" spans="1:16" ht="30" customHeight="1" thickBot="1" x14ac:dyDescent="0.35">
      <c r="B8" s="49" t="s">
        <v>314</v>
      </c>
      <c r="C8" s="49" t="s">
        <v>315</v>
      </c>
      <c r="D8" s="49" t="s">
        <v>316</v>
      </c>
      <c r="E8" s="49" t="s">
        <v>317</v>
      </c>
    </row>
    <row r="9" spans="1:16" ht="30" customHeight="1" thickBot="1" x14ac:dyDescent="0.35">
      <c r="B9" s="49" t="s">
        <v>314</v>
      </c>
      <c r="C9" s="49" t="s">
        <v>320</v>
      </c>
      <c r="D9" s="49" t="s">
        <v>343</v>
      </c>
      <c r="E9" s="49" t="s">
        <v>321</v>
      </c>
    </row>
    <row r="10" spans="1:16" ht="30" customHeight="1" thickBot="1" x14ac:dyDescent="0.35">
      <c r="B10" s="49" t="s">
        <v>314</v>
      </c>
      <c r="C10" s="49" t="s">
        <v>320</v>
      </c>
      <c r="D10" s="49" t="s">
        <v>344</v>
      </c>
      <c r="E10" s="49" t="s">
        <v>323</v>
      </c>
    </row>
    <row r="11" spans="1:16" ht="30" customHeight="1" thickBot="1" x14ac:dyDescent="0.35">
      <c r="B11" s="49" t="s">
        <v>314</v>
      </c>
      <c r="C11" s="49" t="s">
        <v>320</v>
      </c>
      <c r="D11" s="49" t="s">
        <v>345</v>
      </c>
      <c r="E11" s="49" t="s">
        <v>325</v>
      </c>
    </row>
    <row r="12" spans="1:16" ht="30" customHeight="1" thickBot="1" x14ac:dyDescent="0.35">
      <c r="B12" s="49" t="s">
        <v>328</v>
      </c>
      <c r="C12" s="49" t="s">
        <v>329</v>
      </c>
      <c r="D12" s="49" t="s">
        <v>330</v>
      </c>
      <c r="E12" s="49" t="s">
        <v>331</v>
      </c>
    </row>
    <row r="14" spans="1:16" s="44" customFormat="1" ht="15.6" x14ac:dyDescent="0.3">
      <c r="C14" s="42"/>
      <c r="P14" s="42"/>
    </row>
    <row r="15" spans="1:16" ht="15.6" x14ac:dyDescent="0.3">
      <c r="B15" s="42" t="s">
        <v>349</v>
      </c>
      <c r="F15" s="50" t="s">
        <v>350</v>
      </c>
    </row>
  </sheetData>
  <conditionalFormatting sqref="K14">
    <cfRule type="duplicateValues" dxfId="30" priority="3"/>
  </conditionalFormatting>
  <conditionalFormatting sqref="E7">
    <cfRule type="duplicateValues" dxfId="29" priority="2"/>
  </conditionalFormatting>
  <conditionalFormatting sqref="E7">
    <cfRule type="duplicateValues" dxfId="28" priority="1"/>
  </conditionalFormatting>
  <pageMargins left="0.39370078740157483" right="0.39370078740157483" top="0.59055118110236215" bottom="0" header="0.31496062992125984" footer="0.31496062992125984"/>
  <pageSetup paperSize="9" scale="64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Feuil1</vt:lpstr>
      <vt:lpstr>PC.</vt:lpstr>
      <vt:lpstr>MISE A JOUR WINDOWS</vt:lpstr>
      <vt:lpstr>IMP ET MFP RESEAUX</vt:lpstr>
      <vt:lpstr>DATA CENTER</vt:lpstr>
      <vt:lpstr>'DATA CENTER'!Zone_d_impression</vt:lpstr>
      <vt:lpstr>'IMP ET MFP RESEAUX'!Zone_d_impression</vt:lpstr>
      <vt:lpstr>'MISE A JOUR WINDOWS'!Zone_d_impression</vt:lpstr>
      <vt:lpstr>PC.!Zone_d_impression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2026-05-21T09:55:26Z</dcterms:modified>
</cp:coreProperties>
</file>